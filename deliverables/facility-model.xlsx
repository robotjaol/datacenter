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33fa1306a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a7232fa9c214896"/>
    <x:sheet xmlns:r="http://schemas.openxmlformats.org/officeDocument/2006/relationships" name="Inputs" sheetId="2" r:id="R947e72edefb04c7a"/>
    <x:sheet xmlns:r="http://schemas.openxmlformats.org/officeDocument/2006/relationships" name="Engineering" sheetId="3" r:id="Rc5ac112901684d13"/>
    <x:sheet xmlns:r="http://schemas.openxmlformats.org/officeDocument/2006/relationships" name="Energy" sheetId="4" r:id="R5af157fd540a42dc"/>
    <x:sheet xmlns:r="http://schemas.openxmlformats.org/officeDocument/2006/relationships" name="CashFlow" sheetId="5" r:id="Rd8842007c3ec4989"/>
    <x:sheet xmlns:r="http://schemas.openxmlformats.org/officeDocument/2006/relationships" name="Sensitivity" sheetId="6" r:id="R503d2f8c90eb4be1"/>
    <x:sheet xmlns:r="http://schemas.openxmlformats.org/officeDocument/2006/relationships" name="Checks" sheetId="7" r:id="Re01e360a4c6d4d96"/>
    <x:sheet xmlns:r="http://schemas.openxmlformats.org/officeDocument/2006/relationships" name="Sources" sheetId="8" r:id="R76900992492a4661"/>
  </x:sheets>
</x:workbook>
</file>

<file path=xl/comments1.xml><?xml version="1.0" encoding="utf-8"?>
<x:comments xmlns:x="http://schemas.openxmlformats.org/spreadsheetml/2006/main">
  <x:authors>
    <x:author>tc={DE01AB11-87B7-4058-8C2F-71C789A74790}</x:author>
    <x:author>tc={0D92974D-5C99-42B3-A8E1-74FD5BFB81D9}</x:author>
    <x:author>tc={03DD4D70-7869-414E-AFA0-60621D5A5C38}</x:author>
    <x:author>tc={444AA2A0-15D5-4ADB-A705-6BD84778ECEC}</x:author>
    <x:author>tc={D526B99E-D124-4D24-8E68-7F62E639FFBE}</x:author>
    <x:author>tc={7EEB35BE-E686-4DEA-B991-1A2714999D3F}</x:author>
    <x:author>tc={3E277F8A-32E9-47B3-B241-8DAAADC7AA05}</x:author>
    <x:author>tc={9CE6BDBE-69BC-4E0B-9901-2914235DF4D7}</x:author>
    <x:author>tc={6A5FD919-1AEE-4F02-B80D-7A6B5DD12CD9}</x:author>
    <x:author>tc={4C213512-F39D-4656-A9A0-413C5ECBB08C}</x:author>
    <x:author>tc={6CC1A061-C3CC-4087-A972-8000CE91AA3A}</x:author>
    <x:author>tc={D387CAF4-2287-4E3E-9CE2-EE0C2D3EFFA9}</x:author>
    <x:author>tc={DF46CF0F-915F-40BB-9F3D-47F9EB5AC664}</x:author>
    <x:author>tc={06C471AB-94E6-4779-9DF5-A43014166CB5}</x:author>
    <x:author>tc={42EE9920-E768-4CCA-AAFC-7DBF7165177A}</x:author>
    <x:author>tc={D27B6476-EBBC-4781-821A-E431B1E7F9F3}</x:author>
    <x:author>tc={AAA86F6C-3E95-4257-87E9-2AD779DD1F39}</x:author>
    <x:author>tc={78B73269-2061-4CFC-A357-7CC5BADD98B2}</x:author>
    <x:author>tc={A4B71B25-2CF5-46EF-AF95-88DF2C4865AE}</x:author>
    <x:author>tc={96A42499-C3BA-4671-B648-B5B0318879AE}</x:author>
    <x:author>tc={A0728C1A-5263-4A54-8739-6150AEC1F840}</x:author>
    <x:author>tc={ADDA49FB-0764-41F9-A666-50190531A2D8}</x:author>
    <x:author>tc={6EBD7281-C2E5-40E3-9B3E-61BFFF1770C7}</x:author>
    <x:author>tc={C6EC3902-03E6-485B-8AB7-6C8CD3925B5B}</x:author>
    <x:author>tc={FF4ED0AA-A4BE-444D-8720-0EFD08C686F8}</x:author>
    <x:author>tc={9EA3C77B-25FC-46CA-A20E-AD25AB0A7D3B}</x:author>
    <x:author>tc={0CD15DCC-B4D6-4A3A-AB54-3B2E014C0504}</x:author>
    <x:author>tc={D2FB98C6-AC47-494D-AF2C-6CF361AE2F5F}</x:author>
    <x:author>tc={AA408012-F7FD-468C-B7C4-13080BDF9018}</x:author>
    <x:author>tc={5600B834-CCA3-424C-8D7A-8AFB2E921A55}</x:author>
    <x:author>tc={0F2EF58D-9DA4-4C0C-AD52-41BDC54E96AA}</x:author>
    <x:author>tc={D81076DE-CBE2-4B69-8892-D55F41C72DB8}</x:author>
    <x:author>tc={8526D690-D207-4D5C-B59B-093113FFAA12}</x:author>
    <x:author>tc={321DB295-5D97-45BF-8DAD-522CE2230384}</x:author>
    <x:author>tc={CF487EFC-05F9-446D-A8F8-B9E7F9ACE9D2}</x:author>
    <x:author>tc={61192EAF-7792-4889-9880-AE34111D179F}</x:author>
    <x:author>tc={ADC65E87-E53A-4AE4-8808-2356C5810D5D}</x:author>
    <x:author>tc={53F7CEAD-AEAF-4FB9-8E66-0F7FD8EEBE74}</x:author>
    <x:author>tc={5D68E9E8-3F30-4E43-9281-91575835351E}</x:author>
    <x:author>tc={5C5F0E3B-B55E-401E-B91F-290A6D5517BE}</x:author>
    <x:author>tc={181D1DF5-1D7D-4225-8F82-867B62F1C782}</x:author>
    <x:author>tc={C5F8D09D-0DE4-48A0-9082-D0EB60C6210A}</x:author>
    <x:author>tc={47BC2331-4FDA-4146-B3C9-360238CF9699}</x:author>
    <x:author>tc={7B14DBB7-3D71-40AF-A8F5-8085F16B7481}</x:author>
    <x:author>tc={AE6C23B6-8DD5-4D9F-B466-01E26D18E70C}</x:author>
    <x:author>tc={CDABD1E1-19D2-47D3-97DE-B567C5B20630}</x:author>
    <x:author>tc={7FF60514-0D82-4C4D-9C43-28B1D263E4F5}</x:author>
    <x:author>tc={C6E5E9A7-E67D-4108-8FC0-EBD73699CB80}</x:author>
    <x:author>tc={9571683B-F8A6-438A-A910-DF11D8D15C73}</x:author>
    <x:author>tc={B50720D9-0742-4E52-A30D-98C4ADBF6C93}</x:author>
    <x:author>tc={4B74C002-86FE-4222-B949-A60F9B5C503B}</x:author>
    <x:author>tc={4BA40757-4B81-4039-98FB-746DD196BB93}</x:author>
    <x:author>tc={D96461D4-5F69-4B28-8DD1-D75AA95404A4}</x:author>
    <x:author>tc={7B6662C5-7EB1-4011-8698-12E4EACE95A4}</x:author>
    <x:author>tc={AECBBD69-0FFD-4B71-9BCC-3B9C4B7CEFDA}</x:author>
    <x:author>tc={90C3E626-5C5D-4FE7-917D-89B1BB6FF970}</x:author>
    <x:author>tc={A1FA21CA-DF5B-4D74-872E-A1B0B848AAE0}</x:author>
    <x:author>tc={8C08120D-E753-4C87-9969-77B8F4F9A945}</x:author>
    <x:author>tc={D4397A1D-00A5-49F1-B116-C33141107F30}</x:author>
    <x:author>tc={7FD24951-A46F-459E-A8C0-52F47906FA2B}</x:author>
    <x:author>tc={D3002EAB-4E80-4469-BCCB-5DBB39309A7D}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it_kw.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halls.</x:t>
        </x:r>
      </x:text>
    </x:comment>
    <x:comment ref="B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racks_per_hall.</x:t>
        </x:r>
      </x:text>
    </x:comment>
    <x:comment ref="B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rack_kw.</x:t>
        </x:r>
      </x:text>
    </x:comment>
    <x:comment ref="B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design_ambient_c.</x:t>
        </x:r>
      </x:text>
    </x:comment>
    <x:comment ref="B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ups_efficiency.</x:t>
        </x:r>
      </x:text>
    </x:comment>
    <x:comment ref="B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distribution_efficiency.</x:t>
        </x:r>
      </x:text>
    </x:comment>
    <x:comment ref="B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transformer_efficiency.</x:t>
        </x:r>
      </x:text>
    </x:comment>
    <x:comment ref="B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power_factor.</x:t>
        </x:r>
      </x:text>
    </x:comment>
    <x:comment ref="B1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design_margin.</x:t>
        </x:r>
      </x:text>
    </x:comment>
    <x:comment ref="B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ups_module_kw.</x:t>
        </x:r>
      </x:text>
    </x:comment>
    <x:comment ref="B1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transformer_unit_kva.</x:t>
        </x:r>
      </x:text>
    </x:comment>
    <x:comment ref="B1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generator_unit_kw.</x:t>
        </x:r>
      </x:text>
    </x:comment>
    <x:comment ref="B1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generator_derating.</x:t>
        </x:r>
      </x:text>
    </x:comment>
    <x:comment ref="B2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battery_minutes.</x:t>
        </x:r>
      </x:text>
    </x:comment>
    <x:comment ref="B2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battery_inverter_efficiency.</x:t>
        </x:r>
      </x:text>
    </x:comment>
    <x:comment ref="B2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battery_usable_fraction.</x:t>
        </x:r>
      </x:text>
    </x:comment>
    <x:comment ref="B2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battery_end_of_life_fraction.</x:t>
        </x:r>
      </x:text>
    </x:comment>
    <x:comment ref="B2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liquid_fraction.</x:t>
        </x:r>
      </x:text>
    </x:comment>
    <x:comment ref="B2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cop_at_30c.</x:t>
        </x:r>
      </x:text>
    </x:comment>
    <x:comment ref="B2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cop_degradation_per_c.</x:t>
        </x:r>
      </x:text>
    </x:comment>
    <x:comment ref="B2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minimum_cop.</x:t>
        </x:r>
      </x:text>
    </x:comment>
    <x:comment ref="B2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chiller_unit_kwth.</x:t>
        </x:r>
      </x:text>
    </x:comment>
    <x:comment ref="B2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cdu_unit_kwth.</x:t>
        </x:r>
      </x:text>
    </x:comment>
    <x:comment ref="B3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fan_fraction.</x:t>
        </x:r>
      </x:text>
    </x:comment>
    <x:comment ref="B3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pump_fraction.</x:t>
        </x:r>
      </x:text>
    </x:comment>
    <x:comment ref="B3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envelope_kw.</x:t>
        </x:r>
      </x:text>
    </x:comment>
    <x:comment ref="B3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other_facility_kw.</x:t>
        </x:r>
      </x:text>
    </x:comment>
    <x:comment ref="B3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water_delta_t_k.</x:t>
        </x:r>
      </x:text>
    </x:comment>
    <x:comment ref="B35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air_delta_t_k.</x:t>
        </x:r>
      </x:text>
    </x:comment>
    <x:comment ref="B36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mean_draw_fraction.</x:t>
        </x:r>
      </x:text>
    </x:comment>
    <x:comment ref="B37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draw_amplitude.</x:t>
        </x:r>
      </x:text>
    </x:comment>
    <x:comment ref="B38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weather_mean_c.</x:t>
        </x:r>
      </x:text>
    </x:comment>
    <x:comment ref="B39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weather_daily_amplitude_c.</x:t>
        </x:r>
      </x:text>
    </x:comment>
    <x:comment ref="B40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weather_seasonal_amplitude_c.</x:t>
        </x:r>
      </x:text>
    </x:comment>
    <x:comment ref="B41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electricity_usd_per_kwh.</x:t>
        </x:r>
      </x:text>
    </x:comment>
    <x:comment ref="B4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demand_usd_per_kw_month.</x:t>
        </x:r>
      </x:text>
    </x:comment>
    <x:comment ref="B4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grid_kgco2e_per_kwh.</x:t>
        </x:r>
      </x:text>
    </x:comment>
    <x:comment ref="B44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site_water_l_per_it_kwh.</x:t>
        </x:r>
      </x:text>
    </x:comment>
    <x:comment ref="B45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pv_kwp.</x:t>
        </x:r>
      </x:text>
    </x:comment>
    <x:comment ref="B46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pv_performance_ratio.</x:t>
        </x:r>
      </x:text>
    </x:comment>
    <x:comment ref="B47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bess_supported_kw.</x:t>
        </x:r>
      </x:text>
    </x:comment>
    <x:comment ref="B48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bess_hours.</x:t>
        </x:r>
      </x:text>
    </x:comment>
    <x:comment ref="B49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bess_discharge_efficiency.</x:t>
        </x:r>
      </x:text>
    </x:comment>
    <x:comment ref="B50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bess_usable_fraction.</x:t>
        </x:r>
      </x:text>
    </x:comment>
    <x:comment ref="B51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bess_end_of_life_fraction.</x:t>
        </x:r>
      </x:text>
    </x:comment>
    <x:comment ref="B52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base_capex_usd.</x:t>
        </x:r>
      </x:text>
    </x:comment>
    <x:comment ref="B5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contingency_fraction.</x:t>
        </x:r>
      </x:text>
    </x:comment>
    <x:comment ref="B54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fixed_opex_usd_year.</x:t>
        </x:r>
      </x:text>
    </x:comment>
    <x:comment ref="B55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maintenance_fraction.</x:t>
        </x:r>
      </x:text>
    </x:comment>
    <x:comment ref="B56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capacity_usd_kw_month.</x:t>
        </x:r>
      </x:text>
    </x:comment>
    <x:comment ref="B57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energy_recovery_fraction.</x:t>
        </x:r>
      </x:text>
    </x:comment>
    <x:comment ref="B58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discount_rate.</x:t>
        </x:r>
      </x:text>
    </x:comment>
    <x:comment ref="B59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escalation.</x:t>
        </x:r>
      </x:text>
    </x:comment>
    <x:comment ref="B60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replacement_year.</x:t>
        </x:r>
      </x:text>
    </x:comment>
    <x:comment ref="B61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replacement_usd.</x:t>
        </x:r>
      </x:text>
    </x:comment>
    <x:comment ref="B62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residual_fraction.</x:t>
        </x:r>
      </x:text>
    </x:comment>
    <x:comment ref="B63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path_unavailability.</x:t>
        </x:r>
      </x:text>
    </x:comment>
    <x:comment ref="B64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common_cause_unavailability.</x:t>
        </x:r>
      </x:text>
    </x:comment>
    <x:comment ref="B65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reliability_samples.</x:t>
        </x:r>
      </x:text>
    </x:comment>
    <x:comment ref="B66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configs/tropical-5mw.json; original synthetic assumption, not a market quote or site measurement. Parameter: seed.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;[Red](#,##0.00);&quot;-&quot;"/>
    <x:numFmt numFmtId="201" formatCode="0.0%"/>
    <x:numFmt numFmtId="202" formatCode="0"/>
    <x:numFmt numFmtId="203" formatCode="0%"/>
    <x:numFmt numFmtId="204" formatCode="#,##0"/>
    <x:numFmt numFmtId="205" formatCode="&quot;$&quot;#,##0;[Red](&quot;$&quot;#,##0);&quot;-&quot;"/>
    <x:numFmt numFmtId="206" formatCode="0.000"/>
    <x:numFmt numFmtId="207" formatCode="0.00%"/>
  </x:numFmts>
  <x:fonts count="9">
    <x:font>
      <x:sz val="11"/>
      <x:name val="Carlito"/>
    </x:font>
    <x:font>
      <x:sz val="11"/>
      <x:name val="Arial"/>
    </x:font>
    <x:font>
      <x:b/>
      <x:sz val="20"/>
      <x:color rgb="FFFFFFFF"/>
      <x:name val="Arial"/>
    </x:font>
    <x:font>
      <x:sz val="10"/>
      <x:color rgb="FF486581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00FF"/>
      <x:name val="Arial"/>
    </x:font>
    <x:font>
      <x:sz val="11"/>
      <x:color rgb="FF008000"/>
      <x:name val="Arial"/>
    </x:font>
    <x:font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0F766E"/>
      </x:patternFill>
    </x:fill>
    <x:fill>
      <x:patternFill patternType="solid">
        <x:fgColor rgb="FFFFF8CC"/>
      </x:patternFill>
    </x:fill>
    <x:fill>
      <x:patternFill patternType="solid">
        <x:fgColor rgb="FFE7F3F1"/>
      </x:patternFill>
    </x:fill>
  </x:fills>
  <x:borders count="2">
    <x:border/>
    <x:border>
      <x:top style="thin">
        <x:color rgb="FFBCCCDC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1" fontId="6" fillId="4" borderId="0" xfId="0" applyNumberFormat="1" applyFont="1" applyFill="1" applyBorder="1"/>
    <x:xf numFmtId="201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7" fillId="0" borderId="0" xfId="0" applyNumberFormat="1" applyFont="1" applyFill="1" applyBorder="1"/>
    <x:xf numFmtId="206" fontId="5" fillId="0" borderId="0" xfId="0" applyNumberFormat="1" applyFont="1" applyFill="1" applyBorder="1"/>
    <x:xf numFmtId="202" fontId="1" fillId="0" borderId="0" xfId="0" applyNumberFormat="1" applyFont="1" applyFill="1" applyBorder="1"/>
    <x:xf numFmtId="0" fontId="8" fillId="3" borderId="0" xfId="0" applyNumberFormat="1" applyFont="1" applyFill="1" applyBorder="1"/>
    <x:xf numFmtId="203" fontId="6" fillId="4" borderId="0" xfId="0" applyNumberFormat="1" applyFont="1" applyFill="1" applyBorder="1"/>
    <x:xf numFmtId="206" fontId="7" fillId="0" borderId="0" xfId="0" applyNumberFormat="1" applyFont="1" applyFill="1" applyBorder="1"/>
    <x:xf numFmtId="205" fontId="5" fillId="0" borderId="0" xfId="0" applyNumberFormat="1" applyFont="1" applyFill="1" applyBorder="1"/>
    <x:xf numFmtId="205" fontId="1" fillId="0" borderId="0" xfId="0" applyNumberFormat="1" applyFont="1" applyFill="1" applyBorder="1"/>
    <x:xf numFmtId="204" fontId="7" fillId="0" borderId="0" xfId="0" applyNumberFormat="1" applyFont="1" applyFill="1" applyBorder="1"/>
    <x:xf numFmtId="0" fontId="1" fillId="5" borderId="0" xfId="0" applyNumberFormat="1" applyFont="1" applyFill="1" applyBorder="1"/>
    <x:xf numFmtId="205" fontId="5" fillId="5" borderId="0" xfId="0" applyNumberFormat="1" applyFont="1" applyFill="1" applyBorder="1"/>
    <x:xf numFmtId="0" fontId="1" fillId="5" borderId="1" xfId="0" applyNumberFormat="1" applyFont="1" applyFill="1" applyBorder="1"/>
    <x:xf numFmtId="205" fontId="5" fillId="5" borderId="1" xfId="0" applyNumberFormat="1" applyFont="1" applyFill="1" applyBorder="1"/>
    <x:xf numFmtId="205" fontId="7" fillId="5" borderId="0" xfId="0" applyNumberFormat="1" applyFont="1" applyFill="1" applyBorder="1"/>
    <x:xf numFmtId="205" fontId="7" fillId="5" borderId="1" xfId="0" applyNumberFormat="1" applyFont="1" applyFill="1" applyBorder="1"/>
    <x:xf numFmtId="202" fontId="5" fillId="0" borderId="0" xfId="0" applyNumberFormat="1" applyFont="1" applyFill="1" applyBorder="1"/>
    <x:xf numFmtId="203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7" fontId="7" fillId="0" borderId="0" xfId="0" applyNumberFormat="1" applyFont="1" applyFill="1" applyBorder="1"/>
  </x:cellXfs>
  <x:cellStyles count="1">
    <x:cellStyle name="Normal" xfId="0"/>
  </x:cellStyles>
  <x:dxfs count="2">
    <x:dxf>
      <x:font>
        <x:color rgb="FF9B1C1C"/>
      </x:font>
      <x:fill>
        <x:patternFill patternType="solid">
          <x:bgColor rgb="FFFDE8E7"/>
        </x:patternFill>
      </x:fill>
    </x:dxf>
    <x:dxf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e23185121495f" /><Relationship Type="http://schemas.openxmlformats.org/officeDocument/2006/relationships/theme" Target="/xl/theme/theme1.xml" Id="R518884e4ef514f73" /><Relationship Type="http://schemas.openxmlformats.org/officeDocument/2006/relationships/sharedStrings" Target="/xl/sharedStrings.xml" Id="R63d76f3653c44a9d" /><Relationship Type="http://schemas.openxmlformats.org/officeDocument/2006/relationships/worksheet" Target="/xl/worksheets/sheet1.xml" Id="R5a7232fa9c214896" /><Relationship Type="http://schemas.openxmlformats.org/officeDocument/2006/relationships/worksheet" Target="/xl/worksheets/sheet2.xml" Id="R947e72edefb04c7a" /><Relationship Type="http://schemas.openxmlformats.org/officeDocument/2006/relationships/worksheet" Target="/xl/worksheets/sheet3.xml" Id="Rc5ac112901684d13" /><Relationship Type="http://schemas.openxmlformats.org/officeDocument/2006/relationships/worksheet" Target="/xl/worksheets/sheet4.xml" Id="R5af157fd540a42dc" /><Relationship Type="http://schemas.openxmlformats.org/officeDocument/2006/relationships/worksheet" Target="/xl/worksheets/sheet5.xml" Id="Rd8842007c3ec4989" /><Relationship Type="http://schemas.openxmlformats.org/officeDocument/2006/relationships/worksheet" Target="/xl/worksheets/sheet6.xml" Id="R503d2f8c90eb4be1" /><Relationship Type="http://schemas.openxmlformats.org/officeDocument/2006/relationships/worksheet" Target="/xl/worksheets/sheet7.xml" Id="Re01e360a4c6d4d96" /><Relationship Type="http://schemas.openxmlformats.org/officeDocument/2006/relationships/worksheet" Target="/xl/worksheets/sheet8.xml" Id="R76900992492a4661" /><Relationship Type="http://schemas.microsoft.com/office/2017/10/relationships/person" Target="/xl/persons/person.xml" Id="Rdde160b5bfcc4a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8fbd66aa7b47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cash flow (USD)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Cumulative cash flow USD</c:v>
          </c:tx>
          <c:marker>
            <c:symbol val="none"/>
          </c:marker>
          <c:cat>
            <c:strRef>
              <c:f>'Overview'!$A$23:$A$37</c:f>
              <c:strCache>
                <c:ptCount val="0"/>
              </c:strCache>
            </c:strRef>
          </c:cat>
          <c:val>
            <c:numRef>
              <c:f>'Overview'!$B$23:$B$37</c:f>
              <c:numCache>
                <c:formatCode>"$"0,,"m"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,,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11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8fbd66aa7b475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Jonathan Oktaviano" id="{DA1BD800-CEF7-4150-BF3B-4085BCDBE18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9-03T16:52:15.35" personId="{DA1BD800-CEF7-4150-BF3B-4085BCDBE187}" id="{DE01AB11-87B7-4058-8C2F-71C789A74790}">
    <xltc:text>Source: configs/tropical-5mw.json; original synthetic assumption, not a market quote or site measurement. Parameter: it_kw.</xltc:text>
  </xltc:threadedComment>
  <xltc:threadedComment ref="B7" dT="2026-09-03T16:52:15.351" personId="{DA1BD800-CEF7-4150-BF3B-4085BCDBE187}" id="{0D92974D-5C99-42B3-A8E1-74FD5BFB81D9}">
    <xltc:text>Source: configs/tropical-5mw.json; original synthetic assumption, not a market quote or site measurement. Parameter: halls.</xltc:text>
  </xltc:threadedComment>
  <xltc:threadedComment ref="B8" dT="2026-09-03T16:52:15.352" personId="{DA1BD800-CEF7-4150-BF3B-4085BCDBE187}" id="{03DD4D70-7869-414E-AFA0-60621D5A5C38}">
    <xltc:text>Source: configs/tropical-5mw.json; original synthetic assumption, not a market quote or site measurement. Parameter: racks_per_hall.</xltc:text>
  </xltc:threadedComment>
  <xltc:threadedComment ref="B9" dT="2026-09-03T16:52:15.352" personId="{DA1BD800-CEF7-4150-BF3B-4085BCDBE187}" id="{444AA2A0-15D5-4ADB-A705-6BD84778ECEC}">
    <xltc:text>Source: configs/tropical-5mw.json; original synthetic assumption, not a market quote or site measurement. Parameter: rack_kw.</xltc:text>
  </xltc:threadedComment>
  <xltc:threadedComment ref="B10" dT="2026-09-03T16:52:15.353" personId="{DA1BD800-CEF7-4150-BF3B-4085BCDBE187}" id="{D526B99E-D124-4D24-8E68-7F62E639FFBE}">
    <xltc:text>Source: configs/tropical-5mw.json; original synthetic assumption, not a market quote or site measurement. Parameter: design_ambient_c.</xltc:text>
  </xltc:threadedComment>
  <xltc:threadedComment ref="B11" dT="2026-09-03T16:52:15.353" personId="{DA1BD800-CEF7-4150-BF3B-4085BCDBE187}" id="{7EEB35BE-E686-4DEA-B991-1A2714999D3F}">
    <xltc:text>Source: configs/tropical-5mw.json; original synthetic assumption, not a market quote or site measurement. Parameter: ups_efficiency.</xltc:text>
  </xltc:threadedComment>
  <xltc:threadedComment ref="B12" dT="2026-09-03T16:52:15.353" personId="{DA1BD800-CEF7-4150-BF3B-4085BCDBE187}" id="{3E277F8A-32E9-47B3-B241-8DAAADC7AA05}">
    <xltc:text>Source: configs/tropical-5mw.json; original synthetic assumption, not a market quote or site measurement. Parameter: distribution_efficiency.</xltc:text>
  </xltc:threadedComment>
  <xltc:threadedComment ref="B13" dT="2026-09-03T16:52:15.354" personId="{DA1BD800-CEF7-4150-BF3B-4085BCDBE187}" id="{9CE6BDBE-69BC-4E0B-9901-2914235DF4D7}">
    <xltc:text>Source: configs/tropical-5mw.json; original synthetic assumption, not a market quote or site measurement. Parameter: transformer_efficiency.</xltc:text>
  </xltc:threadedComment>
  <xltc:threadedComment ref="B14" dT="2026-09-03T16:52:15.354" personId="{DA1BD800-CEF7-4150-BF3B-4085BCDBE187}" id="{6A5FD919-1AEE-4F02-B80D-7A6B5DD12CD9}">
    <xltc:text>Source: configs/tropical-5mw.json; original synthetic assumption, not a market quote or site measurement. Parameter: power_factor.</xltc:text>
  </xltc:threadedComment>
  <xltc:threadedComment ref="B15" dT="2026-09-03T16:52:15.355" personId="{DA1BD800-CEF7-4150-BF3B-4085BCDBE187}" id="{4C213512-F39D-4656-A9A0-413C5ECBB08C}">
    <xltc:text>Source: configs/tropical-5mw.json; original synthetic assumption, not a market quote or site measurement. Parameter: design_margin.</xltc:text>
  </xltc:threadedComment>
  <xltc:threadedComment ref="B16" dT="2026-09-03T16:52:15.355" personId="{DA1BD800-CEF7-4150-BF3B-4085BCDBE187}" id="{6CC1A061-C3CC-4087-A972-8000CE91AA3A}">
    <xltc:text>Source: configs/tropical-5mw.json; original synthetic assumption, not a market quote or site measurement. Parameter: ups_module_kw.</xltc:text>
  </xltc:threadedComment>
  <xltc:threadedComment ref="B17" dT="2026-09-03T16:52:15.355" personId="{DA1BD800-CEF7-4150-BF3B-4085BCDBE187}" id="{D387CAF4-2287-4E3E-9CE2-EE0C2D3EFFA9}">
    <xltc:text>Source: configs/tropical-5mw.json; original synthetic assumption, not a market quote or site measurement. Parameter: transformer_unit_kva.</xltc:text>
  </xltc:threadedComment>
  <xltc:threadedComment ref="B18" dT="2026-09-03T16:52:15.355" personId="{DA1BD800-CEF7-4150-BF3B-4085BCDBE187}" id="{DF46CF0F-915F-40BB-9F3D-47F9EB5AC664}">
    <xltc:text>Source: configs/tropical-5mw.json; original synthetic assumption, not a market quote or site measurement. Parameter: generator_unit_kw.</xltc:text>
  </xltc:threadedComment>
  <xltc:threadedComment ref="B19" dT="2026-09-03T16:52:15.355" personId="{DA1BD800-CEF7-4150-BF3B-4085BCDBE187}" id="{06C471AB-94E6-4779-9DF5-A43014166CB5}">
    <xltc:text>Source: configs/tropical-5mw.json; original synthetic assumption, not a market quote or site measurement. Parameter: generator_derating.</xltc:text>
  </xltc:threadedComment>
  <xltc:threadedComment ref="B20" dT="2026-09-03T16:52:15.356" personId="{DA1BD800-CEF7-4150-BF3B-4085BCDBE187}" id="{42EE9920-E768-4CCA-AAFC-7DBF7165177A}">
    <xltc:text>Source: configs/tropical-5mw.json; original synthetic assumption, not a market quote or site measurement. Parameter: battery_minutes.</xltc:text>
  </xltc:threadedComment>
  <xltc:threadedComment ref="B21" dT="2026-09-03T16:52:15.356" personId="{DA1BD800-CEF7-4150-BF3B-4085BCDBE187}" id="{D27B6476-EBBC-4781-821A-E431B1E7F9F3}">
    <xltc:text>Source: configs/tropical-5mw.json; original synthetic assumption, not a market quote or site measurement. Parameter: battery_inverter_efficiency.</xltc:text>
  </xltc:threadedComment>
  <xltc:threadedComment ref="B22" dT="2026-09-03T16:52:15.356" personId="{DA1BD800-CEF7-4150-BF3B-4085BCDBE187}" id="{AAA86F6C-3E95-4257-87E9-2AD779DD1F39}">
    <xltc:text>Source: configs/tropical-5mw.json; original synthetic assumption, not a market quote or site measurement. Parameter: battery_usable_fraction.</xltc:text>
  </xltc:threadedComment>
  <xltc:threadedComment ref="B23" dT="2026-09-03T16:52:15.356" personId="{DA1BD800-CEF7-4150-BF3B-4085BCDBE187}" id="{78B73269-2061-4CFC-A357-7CC5BADD98B2}">
    <xltc:text>Source: configs/tropical-5mw.json; original synthetic assumption, not a market quote or site measurement. Parameter: battery_end_of_life_fraction.</xltc:text>
  </xltc:threadedComment>
  <xltc:threadedComment ref="B24" dT="2026-09-03T16:52:15.356" personId="{DA1BD800-CEF7-4150-BF3B-4085BCDBE187}" id="{A4B71B25-2CF5-46EF-AF95-88DF2C4865AE}">
    <xltc:text>Source: configs/tropical-5mw.json; original synthetic assumption, not a market quote or site measurement. Parameter: liquid_fraction.</xltc:text>
  </xltc:threadedComment>
  <xltc:threadedComment ref="B25" dT="2026-09-03T16:52:15.357" personId="{DA1BD800-CEF7-4150-BF3B-4085BCDBE187}" id="{96A42499-C3BA-4671-B648-B5B0318879AE}">
    <xltc:text>Source: configs/tropical-5mw.json; original synthetic assumption, not a market quote or site measurement. Parameter: cop_at_30c.</xltc:text>
  </xltc:threadedComment>
  <xltc:threadedComment ref="B26" dT="2026-09-03T16:52:15.357" personId="{DA1BD800-CEF7-4150-BF3B-4085BCDBE187}" id="{A0728C1A-5263-4A54-8739-6150AEC1F840}">
    <xltc:text>Source: configs/tropical-5mw.json; original synthetic assumption, not a market quote or site measurement. Parameter: cop_degradation_per_c.</xltc:text>
  </xltc:threadedComment>
  <xltc:threadedComment ref="B27" dT="2026-09-03T16:52:15.357" personId="{DA1BD800-CEF7-4150-BF3B-4085BCDBE187}" id="{ADDA49FB-0764-41F9-A666-50190531A2D8}">
    <xltc:text>Source: configs/tropical-5mw.json; original synthetic assumption, not a market quote or site measurement. Parameter: minimum_cop.</xltc:text>
  </xltc:threadedComment>
  <xltc:threadedComment ref="B28" dT="2026-09-03T16:52:15.357" personId="{DA1BD800-CEF7-4150-BF3B-4085BCDBE187}" id="{6EBD7281-C2E5-40E3-9B3E-61BFFF1770C7}">
    <xltc:text>Source: configs/tropical-5mw.json; original synthetic assumption, not a market quote or site measurement. Parameter: chiller_unit_kwth.</xltc:text>
  </xltc:threadedComment>
  <xltc:threadedComment ref="B29" dT="2026-09-03T16:52:15.358" personId="{DA1BD800-CEF7-4150-BF3B-4085BCDBE187}" id="{C6EC3902-03E6-485B-8AB7-6C8CD3925B5B}">
    <xltc:text>Source: configs/tropical-5mw.json; original synthetic assumption, not a market quote or site measurement. Parameter: cdu_unit_kwth.</xltc:text>
  </xltc:threadedComment>
  <xltc:threadedComment ref="B30" dT="2026-09-03T16:52:15.358" personId="{DA1BD800-CEF7-4150-BF3B-4085BCDBE187}" id="{FF4ED0AA-A4BE-444D-8720-0EFD08C686F8}">
    <xltc:text>Source: configs/tropical-5mw.json; original synthetic assumption, not a market quote or site measurement. Parameter: fan_fraction.</xltc:text>
  </xltc:threadedComment>
  <xltc:threadedComment ref="B31" dT="2026-09-03T16:52:15.358" personId="{DA1BD800-CEF7-4150-BF3B-4085BCDBE187}" id="{9EA3C77B-25FC-46CA-A20E-AD25AB0A7D3B}">
    <xltc:text>Source: configs/tropical-5mw.json; original synthetic assumption, not a market quote or site measurement. Parameter: pump_fraction.</xltc:text>
  </xltc:threadedComment>
  <xltc:threadedComment ref="B32" dT="2026-09-03T16:52:15.358" personId="{DA1BD800-CEF7-4150-BF3B-4085BCDBE187}" id="{0CD15DCC-B4D6-4A3A-AB54-3B2E014C0504}">
    <xltc:text>Source: configs/tropical-5mw.json; original synthetic assumption, not a market quote or site measurement. Parameter: envelope_kw.</xltc:text>
  </xltc:threadedComment>
  <xltc:threadedComment ref="B33" dT="2026-09-03T16:52:15.358" personId="{DA1BD800-CEF7-4150-BF3B-4085BCDBE187}" id="{D2FB98C6-AC47-494D-AF2C-6CF361AE2F5F}">
    <xltc:text>Source: configs/tropical-5mw.json; original synthetic assumption, not a market quote or site measurement. Parameter: other_facility_kw.</xltc:text>
  </xltc:threadedComment>
  <xltc:threadedComment ref="B34" dT="2026-09-03T16:52:15.358" personId="{DA1BD800-CEF7-4150-BF3B-4085BCDBE187}" id="{AA408012-F7FD-468C-B7C4-13080BDF9018}">
    <xltc:text>Source: configs/tropical-5mw.json; original synthetic assumption, not a market quote or site measurement. Parameter: water_delta_t_k.</xltc:text>
  </xltc:threadedComment>
  <xltc:threadedComment ref="B35" dT="2026-09-03T16:52:15.359" personId="{DA1BD800-CEF7-4150-BF3B-4085BCDBE187}" id="{5600B834-CCA3-424C-8D7A-8AFB2E921A55}">
    <xltc:text>Source: configs/tropical-5mw.json; original synthetic assumption, not a market quote or site measurement. Parameter: air_delta_t_k.</xltc:text>
  </xltc:threadedComment>
  <xltc:threadedComment ref="B36" dT="2026-09-03T16:52:15.359" personId="{DA1BD800-CEF7-4150-BF3B-4085BCDBE187}" id="{0F2EF58D-9DA4-4C0C-AD52-41BDC54E96AA}">
    <xltc:text>Source: configs/tropical-5mw.json; original synthetic assumption, not a market quote or site measurement. Parameter: mean_draw_fraction.</xltc:text>
  </xltc:threadedComment>
  <xltc:threadedComment ref="B37" dT="2026-09-03T16:52:15.359" personId="{DA1BD800-CEF7-4150-BF3B-4085BCDBE187}" id="{D81076DE-CBE2-4B69-8892-D55F41C72DB8}">
    <xltc:text>Source: configs/tropical-5mw.json; original synthetic assumption, not a market quote or site measurement. Parameter: draw_amplitude.</xltc:text>
  </xltc:threadedComment>
  <xltc:threadedComment ref="B38" dT="2026-09-03T16:52:15.359" personId="{DA1BD800-CEF7-4150-BF3B-4085BCDBE187}" id="{8526D690-D207-4D5C-B59B-093113FFAA12}">
    <xltc:text>Source: configs/tropical-5mw.json; original synthetic assumption, not a market quote or site measurement. Parameter: weather_mean_c.</xltc:text>
  </xltc:threadedComment>
  <xltc:threadedComment ref="B39" dT="2026-09-03T16:52:15.359" personId="{DA1BD800-CEF7-4150-BF3B-4085BCDBE187}" id="{321DB295-5D97-45BF-8DAD-522CE2230384}">
    <xltc:text>Source: configs/tropical-5mw.json; original synthetic assumption, not a market quote or site measurement. Parameter: weather_daily_amplitude_c.</xltc:text>
  </xltc:threadedComment>
  <xltc:threadedComment ref="B40" dT="2026-09-03T16:52:15.36" personId="{DA1BD800-CEF7-4150-BF3B-4085BCDBE187}" id="{CF487EFC-05F9-446D-A8F8-B9E7F9ACE9D2}">
    <xltc:text>Source: configs/tropical-5mw.json; original synthetic assumption, not a market quote or site measurement. Parameter: weather_seasonal_amplitude_c.</xltc:text>
  </xltc:threadedComment>
  <xltc:threadedComment ref="B41" dT="2026-09-03T16:52:15.36" personId="{DA1BD800-CEF7-4150-BF3B-4085BCDBE187}" id="{61192EAF-7792-4889-9880-AE34111D179F}">
    <xltc:text>Source: configs/tropical-5mw.json; original synthetic assumption, not a market quote or site measurement. Parameter: electricity_usd_per_kwh.</xltc:text>
  </xltc:threadedComment>
  <xltc:threadedComment ref="B42" dT="2026-09-03T16:52:15.36" personId="{DA1BD800-CEF7-4150-BF3B-4085BCDBE187}" id="{ADC65E87-E53A-4AE4-8808-2356C5810D5D}">
    <xltc:text>Source: configs/tropical-5mw.json; original synthetic assumption, not a market quote or site measurement. Parameter: demand_usd_per_kw_month.</xltc:text>
  </xltc:threadedComment>
  <xltc:threadedComment ref="B43" dT="2026-09-03T16:52:15.36" personId="{DA1BD800-CEF7-4150-BF3B-4085BCDBE187}" id="{53F7CEAD-AEAF-4FB9-8E66-0F7FD8EEBE74}">
    <xltc:text>Source: configs/tropical-5mw.json; original synthetic assumption, not a market quote or site measurement. Parameter: grid_kgco2e_per_kwh.</xltc:text>
  </xltc:threadedComment>
  <xltc:threadedComment ref="B44" dT="2026-09-03T16:52:15.36" personId="{DA1BD800-CEF7-4150-BF3B-4085BCDBE187}" id="{5D68E9E8-3F30-4E43-9281-91575835351E}">
    <xltc:text>Source: configs/tropical-5mw.json; original synthetic assumption, not a market quote or site measurement. Parameter: site_water_l_per_it_kwh.</xltc:text>
  </xltc:threadedComment>
  <xltc:threadedComment ref="B45" dT="2026-09-03T16:52:15.36" personId="{DA1BD800-CEF7-4150-BF3B-4085BCDBE187}" id="{5C5F0E3B-B55E-401E-B91F-290A6D5517BE}">
    <xltc:text>Source: configs/tropical-5mw.json; original synthetic assumption, not a market quote or site measurement. Parameter: pv_kwp.</xltc:text>
  </xltc:threadedComment>
  <xltc:threadedComment ref="B46" dT="2026-09-03T16:52:15.361" personId="{DA1BD800-CEF7-4150-BF3B-4085BCDBE187}" id="{181D1DF5-1D7D-4225-8F82-867B62F1C782}">
    <xltc:text>Source: configs/tropical-5mw.json; original synthetic assumption, not a market quote or site measurement. Parameter: pv_performance_ratio.</xltc:text>
  </xltc:threadedComment>
  <xltc:threadedComment ref="B47" dT="2026-09-03T16:52:15.361" personId="{DA1BD800-CEF7-4150-BF3B-4085BCDBE187}" id="{C5F8D09D-0DE4-48A0-9082-D0EB60C6210A}">
    <xltc:text>Source: configs/tropical-5mw.json; original synthetic assumption, not a market quote or site measurement. Parameter: bess_supported_kw.</xltc:text>
  </xltc:threadedComment>
  <xltc:threadedComment ref="B48" dT="2026-09-03T16:52:15.361" personId="{DA1BD800-CEF7-4150-BF3B-4085BCDBE187}" id="{47BC2331-4FDA-4146-B3C9-360238CF9699}">
    <xltc:text>Source: configs/tropical-5mw.json; original synthetic assumption, not a market quote or site measurement. Parameter: bess_hours.</xltc:text>
  </xltc:threadedComment>
  <xltc:threadedComment ref="B49" dT="2026-09-03T16:52:15.361" personId="{DA1BD800-CEF7-4150-BF3B-4085BCDBE187}" id="{7B14DBB7-3D71-40AF-A8F5-8085F16B7481}">
    <xltc:text>Source: configs/tropical-5mw.json; original synthetic assumption, not a market quote or site measurement. Parameter: bess_discharge_efficiency.</xltc:text>
  </xltc:threadedComment>
  <xltc:threadedComment ref="B50" dT="2026-09-03T16:52:15.361" personId="{DA1BD800-CEF7-4150-BF3B-4085BCDBE187}" id="{AE6C23B6-8DD5-4D9F-B466-01E26D18E70C}">
    <xltc:text>Source: configs/tropical-5mw.json; original synthetic assumption, not a market quote or site measurement. Parameter: bess_usable_fraction.</xltc:text>
  </xltc:threadedComment>
  <xltc:threadedComment ref="B51" dT="2026-09-03T16:52:15.361" personId="{DA1BD800-CEF7-4150-BF3B-4085BCDBE187}" id="{CDABD1E1-19D2-47D3-97DE-B567C5B20630}">
    <xltc:text>Source: configs/tropical-5mw.json; original synthetic assumption, not a market quote or site measurement. Parameter: bess_end_of_life_fraction.</xltc:text>
  </xltc:threadedComment>
  <xltc:threadedComment ref="B52" dT="2026-09-03T16:52:15.362" personId="{DA1BD800-CEF7-4150-BF3B-4085BCDBE187}" id="{7FF60514-0D82-4C4D-9C43-28B1D263E4F5}">
    <xltc:text>Source: configs/tropical-5mw.json; original synthetic assumption, not a market quote or site measurement. Parameter: base_capex_usd.</xltc:text>
  </xltc:threadedComment>
  <xltc:threadedComment ref="B53" dT="2026-09-03T16:52:15.362" personId="{DA1BD800-CEF7-4150-BF3B-4085BCDBE187}" id="{C6E5E9A7-E67D-4108-8FC0-EBD73699CB80}">
    <xltc:text>Source: configs/tropical-5mw.json; original synthetic assumption, not a market quote or site measurement. Parameter: contingency_fraction.</xltc:text>
  </xltc:threadedComment>
  <xltc:threadedComment ref="B54" dT="2026-09-03T16:52:15.362" personId="{DA1BD800-CEF7-4150-BF3B-4085BCDBE187}" id="{9571683B-F8A6-438A-A910-DF11D8D15C73}">
    <xltc:text>Source: configs/tropical-5mw.json; original synthetic assumption, not a market quote or site measurement. Parameter: fixed_opex_usd_year.</xltc:text>
  </xltc:threadedComment>
  <xltc:threadedComment ref="B55" dT="2026-09-03T16:52:15.362" personId="{DA1BD800-CEF7-4150-BF3B-4085BCDBE187}" id="{B50720D9-0742-4E52-A30D-98C4ADBF6C93}">
    <xltc:text>Source: configs/tropical-5mw.json; original synthetic assumption, not a market quote or site measurement. Parameter: maintenance_fraction.</xltc:text>
  </xltc:threadedComment>
  <xltc:threadedComment ref="B56" dT="2026-09-03T16:52:15.362" personId="{DA1BD800-CEF7-4150-BF3B-4085BCDBE187}" id="{4B74C002-86FE-4222-B949-A60F9B5C503B}">
    <xltc:text>Source: configs/tropical-5mw.json; original synthetic assumption, not a market quote or site measurement. Parameter: capacity_usd_kw_month.</xltc:text>
  </xltc:threadedComment>
  <xltc:threadedComment ref="B57" dT="2026-09-03T16:52:15.363" personId="{DA1BD800-CEF7-4150-BF3B-4085BCDBE187}" id="{4BA40757-4B81-4039-98FB-746DD196BB93}">
    <xltc:text>Source: configs/tropical-5mw.json; original synthetic assumption, not a market quote or site measurement. Parameter: energy_recovery_fraction.</xltc:text>
  </xltc:threadedComment>
  <xltc:threadedComment ref="B58" dT="2026-09-03T16:52:15.363" personId="{DA1BD800-CEF7-4150-BF3B-4085BCDBE187}" id="{D96461D4-5F69-4B28-8DD1-D75AA95404A4}">
    <xltc:text>Source: configs/tropical-5mw.json; original synthetic assumption, not a market quote or site measurement. Parameter: discount_rate.</xltc:text>
  </xltc:threadedComment>
  <xltc:threadedComment ref="B59" dT="2026-09-03T16:52:15.363" personId="{DA1BD800-CEF7-4150-BF3B-4085BCDBE187}" id="{7B6662C5-7EB1-4011-8698-12E4EACE95A4}">
    <xltc:text>Source: configs/tropical-5mw.json; original synthetic assumption, not a market quote or site measurement. Parameter: escalation.</xltc:text>
  </xltc:threadedComment>
  <xltc:threadedComment ref="B60" dT="2026-09-03T16:52:15.363" personId="{DA1BD800-CEF7-4150-BF3B-4085BCDBE187}" id="{AECBBD69-0FFD-4B71-9BCC-3B9C4B7CEFDA}">
    <xltc:text>Source: configs/tropical-5mw.json; original synthetic assumption, not a market quote or site measurement. Parameter: replacement_year.</xltc:text>
  </xltc:threadedComment>
  <xltc:threadedComment ref="B61" dT="2026-09-03T16:52:15.363" personId="{DA1BD800-CEF7-4150-BF3B-4085BCDBE187}" id="{90C3E626-5C5D-4FE7-917D-89B1BB6FF970}">
    <xltc:text>Source: configs/tropical-5mw.json; original synthetic assumption, not a market quote or site measurement. Parameter: replacement_usd.</xltc:text>
  </xltc:threadedComment>
  <xltc:threadedComment ref="B62" dT="2026-09-03T16:52:15.363" personId="{DA1BD800-CEF7-4150-BF3B-4085BCDBE187}" id="{A1FA21CA-DF5B-4D74-872E-A1B0B848AAE0}">
    <xltc:text>Source: configs/tropical-5mw.json; original synthetic assumption, not a market quote or site measurement. Parameter: residual_fraction.</xltc:text>
  </xltc:threadedComment>
  <xltc:threadedComment ref="B63" dT="2026-09-03T16:52:15.363" personId="{DA1BD800-CEF7-4150-BF3B-4085BCDBE187}" id="{8C08120D-E753-4C87-9969-77B8F4F9A945}">
    <xltc:text>Source: configs/tropical-5mw.json; original synthetic assumption, not a market quote or site measurement. Parameter: path_unavailability.</xltc:text>
  </xltc:threadedComment>
  <xltc:threadedComment ref="B64" dT="2026-09-03T16:52:15.364" personId="{DA1BD800-CEF7-4150-BF3B-4085BCDBE187}" id="{D4397A1D-00A5-49F1-B116-C33141107F30}">
    <xltc:text>Source: configs/tropical-5mw.json; original synthetic assumption, not a market quote or site measurement. Parameter: common_cause_unavailability.</xltc:text>
  </xltc:threadedComment>
  <xltc:threadedComment ref="B65" dT="2026-09-03T16:52:15.364" personId="{DA1BD800-CEF7-4150-BF3B-4085BCDBE187}" id="{7FD24951-A46F-459E-A8C0-52F47906FA2B}">
    <xltc:text>Source: configs/tropical-5mw.json; original synthetic assumption, not a market quote or site measurement. Parameter: reliability_samples.</xltc:text>
  </xltc:threadedComment>
  <xltc:threadedComment ref="B66" dT="2026-09-03T16:52:15.364" personId="{DA1BD800-CEF7-4150-BF3B-4085BCDBE187}" id="{D3002EAB-4E80-4469-BCCB-5DBB39309A7D}">
    <xltc:text>Source: configs/tropical-5mw.json; original synthetic assumption, not a market quote or site measurement. Parameter: seed.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8b65b5e85a49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8f6270c80f14e17" /><Relationship Type="http://schemas.openxmlformats.org/officeDocument/2006/relationships/vmlDrawing" Target="/xl/drawings/vmldrawing.vml" Id="R0c6e55efc9394e80" /><Relationship Type="http://schemas.microsoft.com/office/2017/10/relationships/threadedComment" Target="/xl/threadedcomments/threadedcomment.xml" Id="R0c4c5596c4b54d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5" hidden="0" customWidth="1"/>
    <x:col min="3" max="3" width="44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3" t="str">
        <x:v>OPEN DATA CENTER / MODEL OVERVIEW</x:v>
      </x:c>
      <x:c r="B1" s="3"/>
      <x:c r="C1" s="3"/>
      <x:c r="D1" s="3"/>
      <x:c r="E1" s="3"/>
      <x:c r="F1" s="3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/>
      <x:c r="B2" s="3"/>
      <x:c r="C2" s="3"/>
      <x:c r="D2" s="3"/>
      <x:c r="E2" s="3"/>
      <x:c r="F2" s="3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32" customHeight="1">
      <x:c r="A3" s="5" t="str">
        <x:v>Concept / synthetic assumptions | nominal USD | 3 September 2026</x:v>
      </x:c>
      <x:c r="B3" s="5"/>
      <x:c r="C3" s="5"/>
      <x:c r="D3" s="5"/>
      <x:c r="E3" s="5"/>
      <x:c r="F3" s="5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Metric</x:v>
      </x:c>
      <x:c r="B5" s="8" t="str">
        <x:v>Value</x:v>
      </x:c>
      <x:c r="C5" s="8" t="str">
        <x:v>Interpretation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 t="str">
        <x:v>Model status</x:v>
      </x:c>
      <x:c r="B6" s="17" t="str">
        <x:f>'Checks'!B15</x:f>
        <x:v>OK</x:v>
      </x:c>
      <x:c r="C6" s="1" t="str">
        <x:v>Use outputs only when OK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1" t="str">
        <x:v>Design IT</x:v>
      </x:c>
      <x:c r="B7" s="30" t="n">
        <x:f>'Engineering'!B6</x:f>
        <x:v>5000</x:v>
      </x:c>
      <x:c r="C7" s="1" t="str">
        <x:v>kW design demand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8" customHeight="1">
      <x:c r="A8" s="1" t="str">
        <x:v>Design facility input</x:v>
      </x:c>
      <x:c r="B8" s="30" t="n">
        <x:f>'Engineering'!B16</x:f>
        <x:v>6813.6984330138675</x:v>
      </x:c>
      <x:c r="C8" s="1" t="str">
        <x:v>kW before sizing margin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8" customHeight="1">
      <x:c r="A9" s="1" t="str">
        <x:v>Annual PUE</x:v>
      </x:c>
      <x:c r="B9" s="27" t="n">
        <x:f>IF('Checks'!F6="OK",'Energy'!G26,"REBUILD ENERGY")</x:f>
        <x:v>1.3467773582670615</x:v>
      </x:c>
      <x:c r="C9" s="1" t="str">
        <x:v>Fully leased; 75% mean draw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8" customHeight="1">
      <x:c r="A10" s="1" t="str">
        <x:v>Initial CAPEX</x:v>
      </x:c>
      <x:c r="B10" s="22" t="n">
        <x:f>'Inputs'!$B$52*(1+'Inputs'!$B$53)</x:f>
        <x:v>57600000</x:v>
      </x:c>
      <x:c r="C10" s="1" t="str">
        <x:v>USD at year zero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8" customHeight="1">
      <x:c r="A11" s="1" t="str">
        <x:v>Pre-tax unlevered NPV</x:v>
      </x:c>
      <x:c r="B11" s="22" t="n">
        <x:f>IF('Checks'!B15="OK",SUM('CashFlow'!B23:P23)-('Inputs'!$B$52*(1+'Inputs'!$B$53)),"REBUILD / FIX")</x:f>
        <x:v>-329170.43659801036</x:v>
      </x:c>
      <x:c r="C11" s="1" t="str">
        <x:v>15 years; nominal USD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8" customHeight="1">
      <x:c r="A12" s="1" t="str">
        <x:v>Conventional IRR</x:v>
      </x:c>
      <x:c r="B12" s="40" t="n">
        <x:f>IF('Checks'!B15="OK",IF(AND('CashFlow'!B31&lt;0,SUM('CashFlow'!C33:Q33)=1),IFERROR(IRR('CashFlow'!B31:Q31),"not defined"),"not defined"),"REBUILD / FIX")</x:f>
        <x:v>0.09921738533735815</x:v>
      </x:c>
      <x:c r="C12" s="1" t="str">
        <x:v>One conventional sign change only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8" customHeight="1">
      <x:c r="A13" s="1" t="str">
        <x:v>Gross lifecycle cost NPV</x:v>
      </x:c>
      <x:c r="B13" s="22" t="n">
        <x:f>IF('Checks'!B15="OK",('Inputs'!$B$52*(1+'Inputs'!$B$53))+SUMPRODUCT('CashFlow'!B16:P16,'CashFlow'!B22:P22)+SUMPRODUCT('CashFlow'!B19:P19,'CashFlow'!B22:P22)-SUMPRODUCT('CashFlow'!B20:P20,'CashFlow'!B22:P22),"REBUILD / FIX")</x:f>
        <x:v>105550620.61421904</x:v>
      </x:c>
      <x:c r="C13" s="1" t="str">
        <x:v>Before revenue or energy recovery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5" t="str">
        <x:v>Read Inputs -&gt; Engineering -&gt; Energy -&gt; CashFlow -&gt; Sensitivity -&gt; Checks. Blue text = editable assumption; green = worksheet link; black = calculation; pale yellow = input needing review.</x:v>
      </x:c>
      <x:c r="B15" s="5"/>
      <x:c r="C15" s="5"/>
      <x:c r="D15" s="5"/>
      <x:c r="E15" s="5"/>
      <x:c r="F15" s="5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5"/>
      <x:c r="B16" s="5"/>
      <x:c r="C16" s="5"/>
      <x:c r="D16" s="5"/>
      <x:c r="E16" s="5"/>
      <x:c r="F16" s="5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5" t="str">
        <x:v>Scope: independent building-only portfolio; no AWS affiliation. Concept capacity and pre-tax finance, not construction-ready design. Energy table is imported and must be regenerated after physical-input changes.</x:v>
      </x:c>
      <x:c r="B18" s="5"/>
      <x:c r="C18" s="5"/>
      <x:c r="D18" s="5"/>
      <x:c r="E18" s="5"/>
      <x:c r="F18" s="5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5"/>
      <x:c r="B19" s="5"/>
      <x:c r="C19" s="5"/>
      <x:c r="D19" s="5"/>
      <x:c r="E19" s="5"/>
      <x:c r="F19" s="5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30" customHeight="1">
      <x:c r="A22" s="8" t="str">
        <x:v>Operating year</x:v>
      </x:c>
      <x:c r="B22" s="8" t="str">
        <x:v>Cumulative cash flow USD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9" t="n">
        <x:f>'CashFlow'!B5</x:f>
        <x:v>1</x:v>
      </x:c>
      <x:c r="B23" s="22" t="n">
        <x:f>'CashFlow'!B24</x:f>
        <x:v>-55740000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9" t="n">
        <x:f>'CashFlow'!C5</x:f>
        <x:v>2</x:v>
      </x:c>
      <x:c r="B24" s="22" t="n">
        <x:f>'CashFlow'!C24</x:f>
        <x:v>-52190400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9" t="n">
        <x:f>'CashFlow'!D5</x:f>
        <x:v>3</x:v>
      </x:c>
      <x:c r="B25" s="22" t="n">
        <x:f>'CashFlow'!D24</x:f>
        <x:v>-46884360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9" t="n">
        <x:f>'CashFlow'!E5</x:f>
        <x:v>4</x:v>
      </x:c>
      <x:c r="B26" s="22" t="n">
        <x:f>'CashFlow'!E24</x:f>
        <x:v>-39753042.239999995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9" t="n">
        <x:f>'CashFlow'!F5</x:f>
        <x:v>5</x:v>
      </x:c>
      <x:c r="B27" s="22" t="n">
        <x:f>'CashFlow'!F24</x:f>
        <x:v>-31310071.391999993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9" t="n">
        <x:f>'CashFlow'!G5</x:f>
        <x:v>6</x:v>
      </x:c>
      <x:c r="B28" s="22" t="n">
        <x:f>'CashFlow'!G24</x:f>
        <x:v>-22102037.493311994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9" t="n">
        <x:f>'CashFlow'!H5</x:f>
        <x:v>7</x:v>
      </x:c>
      <x:c r="B29" s="22" t="n">
        <x:f>'CashFlow'!H24</x:f>
        <x:v>-12709842.916650232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9" t="n">
        <x:f>'CashFlow'!I5</x:f>
        <x:v>8</x:v>
      </x:c>
      <x:c r="B30" s="22" t="n">
        <x:f>'CashFlow'!I24</x:f>
        <x:v>-6575861.451403077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9" t="n">
        <x:f>'CashFlow'!J5</x:f>
        <x:v>9</x:v>
      </x:c>
      <x:c r="B31" s="22" t="n">
        <x:f>'CashFlow'!J24</x:f>
        <x:v>3195777.786155821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9" t="n">
        <x:f>'CashFlow'!K5</x:f>
        <x:v>10</x:v>
      </x:c>
      <x:c r="B32" s="22" t="n">
        <x:f>'CashFlow'!K24</x:f>
        <x:v>13162849.808465898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9" t="n">
        <x:f>'CashFlow'!L5</x:f>
        <x:v>11</x:v>
      </x:c>
      <x:c r="B33" s="22" t="n">
        <x:f>'CashFlow'!L24</x:f>
        <x:v>23329263.271222174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9" t="n">
        <x:f>'CashFlow'!M5</x:f>
        <x:v>12</x:v>
      </x:c>
      <x:c r="B34" s="22" t="n">
        <x:f>'CashFlow'!M24</x:f>
        <x:v>33699005.00323358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9" t="n">
        <x:f>'CashFlow'!N5</x:f>
        <x:v>13</x:v>
      </x:c>
      <x:c r="B35" s="22" t="n">
        <x:f>'CashFlow'!N24</x:f>
        <x:v>44276141.56988521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9" t="n">
        <x:f>'CashFlow'!O5</x:f>
        <x:v>14</x:v>
      </x:c>
      <x:c r="B36" s="22" t="n">
        <x:f>'CashFlow'!O24</x:f>
        <x:v>55064820.86786987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9" t="n">
        <x:f>'CashFlow'!P5</x:f>
        <x:v>15</x:v>
      </x:c>
      <x:c r="B37" s="22" t="n">
        <x:f>'CashFlow'!P24</x:f>
        <x:v>75569520.8458669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F2"/>
    <x:mergeCell ref="A3:F3"/>
    <x:mergeCell ref="A15:F16"/>
    <x:mergeCell ref="A18:F19"/>
  </x:mergeCells>
  <x:pageMargins left="0.7" right="0.7" top="0.75" bottom="0.75" header="0.3" footer="0.3"/>
  <x:drawing xmlns:r="http://schemas.openxmlformats.org/officeDocument/2006/relationships" r:id="Rda8b65b5e85a494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13" hidden="0" customWidth="1"/>
  </x:cols>
  <x:sheetData>
    <x:row r="1">
      <x:c r="A1" s="3" t="str">
        <x:v>ASSUMPTIONS / EDITABLE MODEL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/>
      <x:c r="B2" s="3"/>
      <x:c r="C2" s="3"/>
      <x:c r="D2" s="3"/>
      <x:c r="E2" s="3"/>
      <x:c r="F2" s="3"/>
      <x:c r="G2" s="3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32" customHeight="1">
      <x:c r="A3" s="5" t="str">
        <x:v>Concept / synthetic assumptions | nominal USD | 3 September 2026</x:v>
      </x:c>
      <x:c r="B3" s="5"/>
      <x:c r="C3" s="5"/>
      <x:c r="D3" s="5"/>
      <x:c r="E3" s="5"/>
      <x:c r="F3" s="5"/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Parameter</x:v>
      </x:c>
      <x:c r="B5" s="8" t="str">
        <x:v>Value</x:v>
      </x:c>
      <x:c r="C5" s="8" t="str">
        <x:v>Units</x:v>
      </x:c>
      <x:c r="D5" s="8" t="str">
        <x:v>Source / status</x:v>
      </x:c>
      <x:c r="E5" s="8" t="str">
        <x:v>Baseline value</x:v>
      </x:c>
      <x:c r="F5" s="8" t="str">
        <x:v>Absolute delta</x:v>
      </x:c>
      <x:c r="G5" s="8" t="str">
        <x:v>Energy link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1" t="str">
        <x:v>it kw</x:v>
      </x:c>
      <x:c r="B6" s="12" t="n">
        <x:v>5000</x:v>
      </x:c>
      <x:c r="C6" s="1" t="str">
        <x:v>kW</x:v>
      </x:c>
      <x:c r="D6" s="1" t="str">
        <x:v>Author / illustrative</x:v>
      </x:c>
      <x:c r="E6" s="13" t="n">
        <x:v>5000</x:v>
      </x:c>
      <x:c r="F6" s="14" t="n">
        <x:f>ABS(B6-E6)</x:f>
        <x:v>0</x:v>
      </x:c>
      <x:c r="G6" s="1" t="str">
        <x:v>energy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" t="str">
        <x:v>halls</x:v>
      </x:c>
      <x:c r="B7" s="12" t="n">
        <x:v>4</x:v>
      </x:c>
      <x:c r="C7" s="1" t="str">
        <x:v>count</x:v>
      </x:c>
      <x:c r="D7" s="1" t="str">
        <x:v>Author / illustrative</x:v>
      </x:c>
      <x:c r="E7" s="13" t="n">
        <x:v>4</x:v>
      </x:c>
      <x:c r="F7" s="14" t="n">
        <x:f>ABS(B7-E7)</x:f>
        <x:v>0</x:v>
      </x:c>
      <x:c r="G7" s="1" t="str">
        <x:v>other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 t="str">
        <x:v>racks per hall</x:v>
      </x:c>
      <x:c r="B8" s="12" t="n">
        <x:v>50</x:v>
      </x:c>
      <x:c r="C8" s="1" t="str">
        <x:v>count</x:v>
      </x:c>
      <x:c r="D8" s="1" t="str">
        <x:v>Author / illustrative</x:v>
      </x:c>
      <x:c r="E8" s="13" t="n">
        <x:v>50</x:v>
      </x:c>
      <x:c r="F8" s="14" t="n">
        <x:f>ABS(B8-E8)</x:f>
        <x:v>0</x:v>
      </x:c>
      <x:c r="G8" s="1" t="str">
        <x:v>other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 t="str">
        <x:v>rack kw</x:v>
      </x:c>
      <x:c r="B9" s="12" t="n">
        <x:v>25</x:v>
      </x:c>
      <x:c r="C9" s="1" t="str">
        <x:v>kW</x:v>
      </x:c>
      <x:c r="D9" s="1" t="str">
        <x:v>Author / illustrative</x:v>
      </x:c>
      <x:c r="E9" s="13" t="n">
        <x:v>25</x:v>
      </x:c>
      <x:c r="F9" s="14" t="n">
        <x:f>ABS(B9-E9)</x:f>
        <x:v>0</x:v>
      </x:c>
      <x:c r="G9" s="1" t="str">
        <x:v>other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 t="str">
        <x:v>design ambient c</x:v>
      </x:c>
      <x:c r="B10" s="12" t="n">
        <x:v>35</x:v>
      </x:c>
      <x:c r="C10" s="1" t="str">
        <x:v>deg C</x:v>
      </x:c>
      <x:c r="D10" s="1" t="str">
        <x:v>Author / illustrative</x:v>
      </x:c>
      <x:c r="E10" s="13" t="n">
        <x:v>35</x:v>
      </x:c>
      <x:c r="F10" s="14" t="n">
        <x:f>ABS(B10-E10)</x:f>
        <x:v>0</x:v>
      </x:c>
      <x:c r="G10" s="1" t="str">
        <x:v>other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 t="str">
        <x:v>ups efficiency</x:v>
      </x:c>
      <x:c r="B11" s="15" t="n">
        <x:v>0.965</x:v>
      </x:c>
      <x:c r="C11" s="1" t="str">
        <x:v>fraction / scalar</x:v>
      </x:c>
      <x:c r="D11" s="1" t="str">
        <x:v>Author / illustrative</x:v>
      </x:c>
      <x:c r="E11" s="16" t="n">
        <x:v>0.965</x:v>
      </x:c>
      <x:c r="F11" s="14" t="n">
        <x:f>ABS(B11-E11)</x:f>
        <x:v>0</x:v>
      </x:c>
      <x:c r="G11" s="1" t="str">
        <x:v>energy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 t="str">
        <x:v>distribution efficiency</x:v>
      </x:c>
      <x:c r="B12" s="15" t="n">
        <x:v>0.99</x:v>
      </x:c>
      <x:c r="C12" s="1" t="str">
        <x:v>fraction / scalar</x:v>
      </x:c>
      <x:c r="D12" s="1" t="str">
        <x:v>Author / illustrative</x:v>
      </x:c>
      <x:c r="E12" s="16" t="n">
        <x:v>0.99</x:v>
      </x:c>
      <x:c r="F12" s="14" t="n">
        <x:f>ABS(B12-E12)</x:f>
        <x:v>0</x:v>
      </x:c>
      <x:c r="G12" s="1" t="str">
        <x:v>energy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 t="str">
        <x:v>transformer efficiency</x:v>
      </x:c>
      <x:c r="B13" s="15" t="n">
        <x:v>0.99</x:v>
      </x:c>
      <x:c r="C13" s="1" t="str">
        <x:v>fraction / scalar</x:v>
      </x:c>
      <x:c r="D13" s="1" t="str">
        <x:v>Author / illustrative</x:v>
      </x:c>
      <x:c r="E13" s="16" t="n">
        <x:v>0.99</x:v>
      </x:c>
      <x:c r="F13" s="14" t="n">
        <x:f>ABS(B13-E13)</x:f>
        <x:v>0</x:v>
      </x:c>
      <x:c r="G13" s="1" t="str">
        <x:v>energy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 t="str">
        <x:v>power factor</x:v>
      </x:c>
      <x:c r="B14" s="12" t="n">
        <x:v>0.95</x:v>
      </x:c>
      <x:c r="C14" s="1" t="str">
        <x:v>fraction / scalar</x:v>
      </x:c>
      <x:c r="D14" s="1" t="str">
        <x:v>Author / illustrative</x:v>
      </x:c>
      <x:c r="E14" s="13" t="n">
        <x:v>0.95</x:v>
      </x:c>
      <x:c r="F14" s="14" t="n">
        <x:f>ABS(B14-E14)</x:f>
        <x:v>0</x:v>
      </x:c>
      <x:c r="G14" s="1" t="str">
        <x:v>other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 t="str">
        <x:v>design margin</x:v>
      </x:c>
      <x:c r="B15" s="15" t="n">
        <x:v>0.1</x:v>
      </x:c>
      <x:c r="C15" s="1" t="str">
        <x:v>fraction / scalar</x:v>
      </x:c>
      <x:c r="D15" s="1" t="str">
        <x:v>Author / illustrative</x:v>
      </x:c>
      <x:c r="E15" s="16" t="n">
        <x:v>0.1</x:v>
      </x:c>
      <x:c r="F15" s="14" t="n">
        <x:f>ABS(B15-E15)</x:f>
        <x:v>0</x:v>
      </x:c>
      <x:c r="G15" s="1" t="str">
        <x:v>other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 t="str">
        <x:v>ups module kw</x:v>
      </x:c>
      <x:c r="B16" s="12" t="n">
        <x:v>1250</x:v>
      </x:c>
      <x:c r="C16" s="1" t="str">
        <x:v>kW</x:v>
      </x:c>
      <x:c r="D16" s="1" t="str">
        <x:v>Author / illustrative</x:v>
      </x:c>
      <x:c r="E16" s="13" t="n">
        <x:v>1250</x:v>
      </x:c>
      <x:c r="F16" s="14" t="n">
        <x:f>ABS(B16-E16)</x:f>
        <x:v>0</x:v>
      </x:c>
      <x:c r="G16" s="1" t="str">
        <x:v>other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 t="str">
        <x:v>transformer unit kva</x:v>
      </x:c>
      <x:c r="B17" s="12" t="n">
        <x:v>4000</x:v>
      </x:c>
      <x:c r="C17" s="1" t="str">
        <x:v>kVA</x:v>
      </x:c>
      <x:c r="D17" s="1" t="str">
        <x:v>Author / illustrative</x:v>
      </x:c>
      <x:c r="E17" s="13" t="n">
        <x:v>4000</x:v>
      </x:c>
      <x:c r="F17" s="14" t="n">
        <x:f>ABS(B17-E17)</x:f>
        <x:v>0</x:v>
      </x:c>
      <x:c r="G17" s="1" t="str">
        <x:v>other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 t="str">
        <x:v>generator unit kw</x:v>
      </x:c>
      <x:c r="B18" s="12" t="n">
        <x:v>3000</x:v>
      </x:c>
      <x:c r="C18" s="1" t="str">
        <x:v>kW</x:v>
      </x:c>
      <x:c r="D18" s="1" t="str">
        <x:v>Author / illustrative</x:v>
      </x:c>
      <x:c r="E18" s="13" t="n">
        <x:v>3000</x:v>
      </x:c>
      <x:c r="F18" s="14" t="n">
        <x:f>ABS(B18-E18)</x:f>
        <x:v>0</x:v>
      </x:c>
      <x:c r="G18" s="1" t="str">
        <x:v>other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 t="str">
        <x:v>generator derating</x:v>
      </x:c>
      <x:c r="B19" s="15" t="n">
        <x:v>0.9</x:v>
      </x:c>
      <x:c r="C19" s="1" t="str">
        <x:v>fraction / scalar</x:v>
      </x:c>
      <x:c r="D19" s="1" t="str">
        <x:v>Author / illustrative</x:v>
      </x:c>
      <x:c r="E19" s="16" t="n">
        <x:v>0.9</x:v>
      </x:c>
      <x:c r="F19" s="14" t="n">
        <x:f>ABS(B19-E19)</x:f>
        <x:v>0</x:v>
      </x:c>
      <x:c r="G19" s="1" t="str">
        <x:v>other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 t="str">
        <x:v>battery minutes</x:v>
      </x:c>
      <x:c r="B20" s="12" t="n">
        <x:v>10</x:v>
      </x:c>
      <x:c r="C20" s="1" t="str">
        <x:v>minutes</x:v>
      </x:c>
      <x:c r="D20" s="1" t="str">
        <x:v>Author / illustrative</x:v>
      </x:c>
      <x:c r="E20" s="13" t="n">
        <x:v>10</x:v>
      </x:c>
      <x:c r="F20" s="14" t="n">
        <x:f>ABS(B20-E20)</x:f>
        <x:v>0</x:v>
      </x:c>
      <x:c r="G20" s="1" t="str">
        <x:v>other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 t="str">
        <x:v>battery inverter efficiency</x:v>
      </x:c>
      <x:c r="B21" s="15" t="n">
        <x:v>0.96</x:v>
      </x:c>
      <x:c r="C21" s="1" t="str">
        <x:v>fraction / scalar</x:v>
      </x:c>
      <x:c r="D21" s="1" t="str">
        <x:v>Author / illustrative</x:v>
      </x:c>
      <x:c r="E21" s="16" t="n">
        <x:v>0.96</x:v>
      </x:c>
      <x:c r="F21" s="14" t="n">
        <x:f>ABS(B21-E21)</x:f>
        <x:v>0</x:v>
      </x:c>
      <x:c r="G21" s="1" t="str">
        <x:v>other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 t="str">
        <x:v>battery usable fraction</x:v>
      </x:c>
      <x:c r="B22" s="15" t="n">
        <x:v>0.8</x:v>
      </x:c>
      <x:c r="C22" s="1" t="str">
        <x:v>fraction / scalar</x:v>
      </x:c>
      <x:c r="D22" s="1" t="str">
        <x:v>Author / illustrative</x:v>
      </x:c>
      <x:c r="E22" s="16" t="n">
        <x:v>0.8</x:v>
      </x:c>
      <x:c r="F22" s="14" t="n">
        <x:f>ABS(B22-E22)</x:f>
        <x:v>0</x:v>
      </x:c>
      <x:c r="G22" s="1" t="str">
        <x:v>other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 t="str">
        <x:v>battery end of life fraction</x:v>
      </x:c>
      <x:c r="B23" s="15" t="n">
        <x:v>0.8</x:v>
      </x:c>
      <x:c r="C23" s="1" t="str">
        <x:v>fraction / scalar</x:v>
      </x:c>
      <x:c r="D23" s="1" t="str">
        <x:v>Author / illustrative</x:v>
      </x:c>
      <x:c r="E23" s="16" t="n">
        <x:v>0.8</x:v>
      </x:c>
      <x:c r="F23" s="14" t="n">
        <x:f>ABS(B23-E23)</x:f>
        <x:v>0</x:v>
      </x:c>
      <x:c r="G23" s="1" t="str">
        <x:v>other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 t="str">
        <x:v>liquid fraction</x:v>
      </x:c>
      <x:c r="B24" s="15" t="n">
        <x:v>0.3</x:v>
      </x:c>
      <x:c r="C24" s="1" t="str">
        <x:v>fraction / scalar</x:v>
      </x:c>
      <x:c r="D24" s="1" t="str">
        <x:v>Author / illustrative</x:v>
      </x:c>
      <x:c r="E24" s="16" t="n">
        <x:v>0.3</x:v>
      </x:c>
      <x:c r="F24" s="14" t="n">
        <x:f>ABS(B24-E24)</x:f>
        <x:v>0</x:v>
      </x:c>
      <x:c r="G24" s="1" t="str">
        <x:v>energy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 t="str">
        <x:v>cop at 30c</x:v>
      </x:c>
      <x:c r="B25" s="12" t="n">
        <x:v>4.5</x:v>
      </x:c>
      <x:c r="C25" s="1" t="str">
        <x:v>fraction / scalar</x:v>
      </x:c>
      <x:c r="D25" s="1" t="str">
        <x:v>Author / illustrative</x:v>
      </x:c>
      <x:c r="E25" s="13" t="n">
        <x:v>4.5</x:v>
      </x:c>
      <x:c r="F25" s="14" t="n">
        <x:f>ABS(B25-E25)</x:f>
        <x:v>0</x:v>
      </x:c>
      <x:c r="G25" s="1" t="str">
        <x:v>energy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 t="str">
        <x:v>cop degradation per c</x:v>
      </x:c>
      <x:c r="B26" s="12" t="n">
        <x:v>0.07</x:v>
      </x:c>
      <x:c r="C26" s="1" t="str">
        <x:v>deg C</x:v>
      </x:c>
      <x:c r="D26" s="1" t="str">
        <x:v>Author / illustrative</x:v>
      </x:c>
      <x:c r="E26" s="13" t="n">
        <x:v>0.07</x:v>
      </x:c>
      <x:c r="F26" s="14" t="n">
        <x:f>ABS(B26-E26)</x:f>
        <x:v>0</x:v>
      </x:c>
      <x:c r="G26" s="1" t="str">
        <x:v>energy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 t="str">
        <x:v>minimum cop</x:v>
      </x:c>
      <x:c r="B27" s="12" t="n">
        <x:v>2.5</x:v>
      </x:c>
      <x:c r="C27" s="1" t="str">
        <x:v>fraction / scalar</x:v>
      </x:c>
      <x:c r="D27" s="1" t="str">
        <x:v>Author / illustrative</x:v>
      </x:c>
      <x:c r="E27" s="13" t="n">
        <x:v>2.5</x:v>
      </x:c>
      <x:c r="F27" s="14" t="n">
        <x:f>ABS(B27-E27)</x:f>
        <x:v>0</x:v>
      </x:c>
      <x:c r="G27" s="1" t="str">
        <x:v>energy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 t="str">
        <x:v>chiller unit kwth</x:v>
      </x:c>
      <x:c r="B28" s="12" t="n">
        <x:v>1250</x:v>
      </x:c>
      <x:c r="C28" s="1" t="str">
        <x:v>kW thermal</x:v>
      </x:c>
      <x:c r="D28" s="1" t="str">
        <x:v>Author / illustrative</x:v>
      </x:c>
      <x:c r="E28" s="13" t="n">
        <x:v>1250</x:v>
      </x:c>
      <x:c r="F28" s="14" t="n">
        <x:f>ABS(B28-E28)</x:f>
        <x:v>0</x:v>
      </x:c>
      <x:c r="G28" s="1" t="str">
        <x:v>other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 t="str">
        <x:v>cdu unit kwth</x:v>
      </x:c>
      <x:c r="B29" s="12" t="n">
        <x:v>500</x:v>
      </x:c>
      <x:c r="C29" s="1" t="str">
        <x:v>kW thermal</x:v>
      </x:c>
      <x:c r="D29" s="1" t="str">
        <x:v>Author / illustrative</x:v>
      </x:c>
      <x:c r="E29" s="13" t="n">
        <x:v>500</x:v>
      </x:c>
      <x:c r="F29" s="14" t="n">
        <x:f>ABS(B29-E29)</x:f>
        <x:v>0</x:v>
      </x:c>
      <x:c r="G29" s="1" t="str">
        <x:v>other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 t="str">
        <x:v>fan fraction</x:v>
      </x:c>
      <x:c r="B30" s="15" t="n">
        <x:v>0.02</x:v>
      </x:c>
      <x:c r="C30" s="1" t="str">
        <x:v>fraction / scalar</x:v>
      </x:c>
      <x:c r="D30" s="1" t="str">
        <x:v>Author / illustrative</x:v>
      </x:c>
      <x:c r="E30" s="16" t="n">
        <x:v>0.02</x:v>
      </x:c>
      <x:c r="F30" s="14" t="n">
        <x:f>ABS(B30-E30)</x:f>
        <x:v>0</x:v>
      </x:c>
      <x:c r="G30" s="1" t="str">
        <x:v>energy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 t="str">
        <x:v>pump fraction</x:v>
      </x:c>
      <x:c r="B31" s="15" t="n">
        <x:v>0.012</x:v>
      </x:c>
      <x:c r="C31" s="1" t="str">
        <x:v>fraction / scalar</x:v>
      </x:c>
      <x:c r="D31" s="1" t="str">
        <x:v>Author / illustrative</x:v>
      </x:c>
      <x:c r="E31" s="16" t="n">
        <x:v>0.012</x:v>
      </x:c>
      <x:c r="F31" s="14" t="n">
        <x:f>ABS(B31-E31)</x:f>
        <x:v>0</x:v>
      </x:c>
      <x:c r="G31" s="1" t="str">
        <x:v>energy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 t="str">
        <x:v>envelope kw</x:v>
      </x:c>
      <x:c r="B32" s="12" t="n">
        <x:v>80</x:v>
      </x:c>
      <x:c r="C32" s="1" t="str">
        <x:v>kW</x:v>
      </x:c>
      <x:c r="D32" s="1" t="str">
        <x:v>Author / illustrative</x:v>
      </x:c>
      <x:c r="E32" s="13" t="n">
        <x:v>80</x:v>
      </x:c>
      <x:c r="F32" s="14" t="n">
        <x:f>ABS(B32-E32)</x:f>
        <x:v>0</x:v>
      </x:c>
      <x:c r="G32" s="1" t="str">
        <x:v>energy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 t="str">
        <x:v>other facility kw</x:v>
      </x:c>
      <x:c r="B33" s="12" t="n">
        <x:v>80</x:v>
      </x:c>
      <x:c r="C33" s="1" t="str">
        <x:v>kW</x:v>
      </x:c>
      <x:c r="D33" s="1" t="str">
        <x:v>Author / illustrative</x:v>
      </x:c>
      <x:c r="E33" s="13" t="n">
        <x:v>80</x:v>
      </x:c>
      <x:c r="F33" s="14" t="n">
        <x:f>ABS(B33-E33)</x:f>
        <x:v>0</x:v>
      </x:c>
      <x:c r="G33" s="1" t="str">
        <x:v>energy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 t="str">
        <x:v>water delta t k</x:v>
      </x:c>
      <x:c r="B34" s="12" t="n">
        <x:v>6</x:v>
      </x:c>
      <x:c r="C34" s="1" t="str">
        <x:v>K</x:v>
      </x:c>
      <x:c r="D34" s="1" t="str">
        <x:v>Author / illustrative</x:v>
      </x:c>
      <x:c r="E34" s="13" t="n">
        <x:v>6</x:v>
      </x:c>
      <x:c r="F34" s="14" t="n">
        <x:f>ABS(B34-E34)</x:f>
        <x:v>0</x:v>
      </x:c>
      <x:c r="G34" s="1" t="str">
        <x:v>other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 t="str">
        <x:v>air delta t k</x:v>
      </x:c>
      <x:c r="B35" s="12" t="n">
        <x:v>12</x:v>
      </x:c>
      <x:c r="C35" s="1" t="str">
        <x:v>K</x:v>
      </x:c>
      <x:c r="D35" s="1" t="str">
        <x:v>Author / illustrative</x:v>
      </x:c>
      <x:c r="E35" s="13" t="n">
        <x:v>12</x:v>
      </x:c>
      <x:c r="F35" s="14" t="n">
        <x:f>ABS(B35-E35)</x:f>
        <x:v>0</x:v>
      </x:c>
      <x:c r="G35" s="1" t="str">
        <x:v>other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 t="str">
        <x:v>mean draw fraction</x:v>
      </x:c>
      <x:c r="B36" s="15" t="n">
        <x:v>0.75</x:v>
      </x:c>
      <x:c r="C36" s="1" t="str">
        <x:v>fraction / scalar</x:v>
      </x:c>
      <x:c r="D36" s="1" t="str">
        <x:v>Author / illustrative</x:v>
      </x:c>
      <x:c r="E36" s="16" t="n">
        <x:v>0.75</x:v>
      </x:c>
      <x:c r="F36" s="14" t="n">
        <x:f>ABS(B36-E36)</x:f>
        <x:v>0</x:v>
      </x:c>
      <x:c r="G36" s="1" t="str">
        <x:v>energy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 t="str">
        <x:v>draw amplitude</x:v>
      </x:c>
      <x:c r="B37" s="12" t="n">
        <x:v>0.1</x:v>
      </x:c>
      <x:c r="C37" s="1" t="str">
        <x:v>fraction / scalar</x:v>
      </x:c>
      <x:c r="D37" s="1" t="str">
        <x:v>Author / illustrative</x:v>
      </x:c>
      <x:c r="E37" s="13" t="n">
        <x:v>0.1</x:v>
      </x:c>
      <x:c r="F37" s="14" t="n">
        <x:f>ABS(B37-E37)</x:f>
        <x:v>0</x:v>
      </x:c>
      <x:c r="G37" s="1" t="str">
        <x:v>energy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 t="str">
        <x:v>weather mean c</x:v>
      </x:c>
      <x:c r="B38" s="12" t="n">
        <x:v>29</x:v>
      </x:c>
      <x:c r="C38" s="1" t="str">
        <x:v>deg C</x:v>
      </x:c>
      <x:c r="D38" s="1" t="str">
        <x:v>Author / illustrative</x:v>
      </x:c>
      <x:c r="E38" s="13" t="n">
        <x:v>29</x:v>
      </x:c>
      <x:c r="F38" s="14" t="n">
        <x:f>ABS(B38-E38)</x:f>
        <x:v>0</x:v>
      </x:c>
      <x:c r="G38" s="1" t="str">
        <x:v>energy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 t="str">
        <x:v>weather daily amplitude c</x:v>
      </x:c>
      <x:c r="B39" s="12" t="n">
        <x:v>4</x:v>
      </x:c>
      <x:c r="C39" s="1" t="str">
        <x:v>deg C</x:v>
      </x:c>
      <x:c r="D39" s="1" t="str">
        <x:v>Author / illustrative</x:v>
      </x:c>
      <x:c r="E39" s="13" t="n">
        <x:v>4</x:v>
      </x:c>
      <x:c r="F39" s="14" t="n">
        <x:f>ABS(B39-E39)</x:f>
        <x:v>0</x:v>
      </x:c>
      <x:c r="G39" s="1" t="str">
        <x:v>energy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 t="str">
        <x:v>weather seasonal amplitude c</x:v>
      </x:c>
      <x:c r="B40" s="12" t="n">
        <x:v>2</x:v>
      </x:c>
      <x:c r="C40" s="1" t="str">
        <x:v>deg C</x:v>
      </x:c>
      <x:c r="D40" s="1" t="str">
        <x:v>Author / illustrative</x:v>
      </x:c>
      <x:c r="E40" s="13" t="n">
        <x:v>2</x:v>
      </x:c>
      <x:c r="F40" s="14" t="n">
        <x:f>ABS(B40-E40)</x:f>
        <x:v>0</x:v>
      </x:c>
      <x:c r="G40" s="1" t="str">
        <x:v>energy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 t="str">
        <x:v>electricity usd per kwh</x:v>
      </x:c>
      <x:c r="B41" s="12" t="n">
        <x:v>0.1</x:v>
      </x:c>
      <x:c r="C41" s="1" t="str">
        <x:v>USD/kWh</x:v>
      </x:c>
      <x:c r="D41" s="1" t="str">
        <x:v>Author / illustrative</x:v>
      </x:c>
      <x:c r="E41" s="13" t="n">
        <x:v>0.1</x:v>
      </x:c>
      <x:c r="F41" s="14" t="n">
        <x:f>ABS(B41-E41)</x:f>
        <x:v>0</x:v>
      </x:c>
      <x:c r="G41" s="1" t="str">
        <x:v>other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 t="str">
        <x:v>demand usd per kw month</x:v>
      </x:c>
      <x:c r="B42" s="12" t="n">
        <x:v>5</x:v>
      </x:c>
      <x:c r="C42" s="1" t="str">
        <x:v>USD/kW-month</x:v>
      </x:c>
      <x:c r="D42" s="1" t="str">
        <x:v>Author / illustrative</x:v>
      </x:c>
      <x:c r="E42" s="13" t="n">
        <x:v>5</x:v>
      </x:c>
      <x:c r="F42" s="14" t="n">
        <x:f>ABS(B42-E42)</x:f>
        <x:v>0</x:v>
      </x:c>
      <x:c r="G42" s="1" t="str">
        <x:v>other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 t="str">
        <x:v>grid kgco2e per kwh</x:v>
      </x:c>
      <x:c r="B43" s="12" t="n">
        <x:v>0.7</x:v>
      </x:c>
      <x:c r="C43" s="1" t="str">
        <x:v>kgCO2e/kWh</x:v>
      </x:c>
      <x:c r="D43" s="1" t="str">
        <x:v>Author / illustrative</x:v>
      </x:c>
      <x:c r="E43" s="13" t="n">
        <x:v>0.7</x:v>
      </x:c>
      <x:c r="F43" s="14" t="n">
        <x:f>ABS(B43-E43)</x:f>
        <x:v>0</x:v>
      </x:c>
      <x:c r="G43" s="1" t="str">
        <x:v>other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 t="str">
        <x:v>site water l per it kwh</x:v>
      </x:c>
      <x:c r="B44" s="12" t="n">
        <x:v>0.05</x:v>
      </x:c>
      <x:c r="C44" s="1" t="str">
        <x:v>L/kWh IT</x:v>
      </x:c>
      <x:c r="D44" s="1" t="str">
        <x:v>Author / illustrative</x:v>
      </x:c>
      <x:c r="E44" s="13" t="n">
        <x:v>0.05</x:v>
      </x:c>
      <x:c r="F44" s="14" t="n">
        <x:f>ABS(B44-E44)</x:f>
        <x:v>0</x:v>
      </x:c>
      <x:c r="G44" s="1" t="str">
        <x:v>other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 t="str">
        <x:v>pv kwp</x:v>
      </x:c>
      <x:c r="B45" s="12" t="n">
        <x:v>0</x:v>
      </x:c>
      <x:c r="C45" s="1" t="str">
        <x:v>kWp</x:v>
      </x:c>
      <x:c r="D45" s="1" t="str">
        <x:v>Author / illustrative</x:v>
      </x:c>
      <x:c r="E45" s="13" t="n">
        <x:v>0</x:v>
      </x:c>
      <x:c r="F45" s="14" t="n">
        <x:f>ABS(B45-E45)</x:f>
        <x:v>0</x:v>
      </x:c>
      <x:c r="G45" s="1" t="str">
        <x:v>energy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1" t="str">
        <x:v>pv performance ratio</x:v>
      </x:c>
      <x:c r="B46" s="12" t="n">
        <x:v>0.8</x:v>
      </x:c>
      <x:c r="C46" s="1" t="str">
        <x:v>fraction / scalar</x:v>
      </x:c>
      <x:c r="D46" s="1" t="str">
        <x:v>Author / illustrative</x:v>
      </x:c>
      <x:c r="E46" s="13" t="n">
        <x:v>0.8</x:v>
      </x:c>
      <x:c r="F46" s="14" t="n">
        <x:f>ABS(B46-E46)</x:f>
        <x:v>0</x:v>
      </x:c>
      <x:c r="G46" s="1" t="str">
        <x:v>energy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1" t="str">
        <x:v>bess supported kw</x:v>
      </x:c>
      <x:c r="B47" s="12" t="n">
        <x:v>1000</x:v>
      </x:c>
      <x:c r="C47" s="1" t="str">
        <x:v>kW</x:v>
      </x:c>
      <x:c r="D47" s="1" t="str">
        <x:v>Author / illustrative</x:v>
      </x:c>
      <x:c r="E47" s="13" t="n">
        <x:v>1000</x:v>
      </x:c>
      <x:c r="F47" s="14" t="n">
        <x:f>ABS(B47-E47)</x:f>
        <x:v>0</x:v>
      </x:c>
      <x:c r="G47" s="1" t="str">
        <x:v>other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1" t="str">
        <x:v>bess hours</x:v>
      </x:c>
      <x:c r="B48" s="12" t="n">
        <x:v>2</x:v>
      </x:c>
      <x:c r="C48" s="1" t="str">
        <x:v>hours</x:v>
      </x:c>
      <x:c r="D48" s="1" t="str">
        <x:v>Author / illustrative</x:v>
      </x:c>
      <x:c r="E48" s="13" t="n">
        <x:v>2</x:v>
      </x:c>
      <x:c r="F48" s="14" t="n">
        <x:f>ABS(B48-E48)</x:f>
        <x:v>0</x:v>
      </x:c>
      <x:c r="G48" s="1" t="str">
        <x:v>other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1" t="str">
        <x:v>bess discharge efficiency</x:v>
      </x:c>
      <x:c r="B49" s="15" t="n">
        <x:v>0.92</x:v>
      </x:c>
      <x:c r="C49" s="1" t="str">
        <x:v>fraction / scalar</x:v>
      </x:c>
      <x:c r="D49" s="1" t="str">
        <x:v>Author / illustrative</x:v>
      </x:c>
      <x:c r="E49" s="16" t="n">
        <x:v>0.92</x:v>
      </x:c>
      <x:c r="F49" s="14" t="n">
        <x:f>ABS(B49-E49)</x:f>
        <x:v>0</x:v>
      </x:c>
      <x:c r="G49" s="1" t="str">
        <x:v>other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1" t="str">
        <x:v>bess usable fraction</x:v>
      </x:c>
      <x:c r="B50" s="15" t="n">
        <x:v>0.8</x:v>
      </x:c>
      <x:c r="C50" s="1" t="str">
        <x:v>fraction / scalar</x:v>
      </x:c>
      <x:c r="D50" s="1" t="str">
        <x:v>Author / illustrative</x:v>
      </x:c>
      <x:c r="E50" s="16" t="n">
        <x:v>0.8</x:v>
      </x:c>
      <x:c r="F50" s="14" t="n">
        <x:f>ABS(B50-E50)</x:f>
        <x:v>0</x:v>
      </x:c>
      <x:c r="G50" s="1" t="str">
        <x:v>other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1" t="str">
        <x:v>bess end of life fraction</x:v>
      </x:c>
      <x:c r="B51" s="15" t="n">
        <x:v>0.8</x:v>
      </x:c>
      <x:c r="C51" s="1" t="str">
        <x:v>fraction / scalar</x:v>
      </x:c>
      <x:c r="D51" s="1" t="str">
        <x:v>Author / illustrative</x:v>
      </x:c>
      <x:c r="E51" s="16" t="n">
        <x:v>0.8</x:v>
      </x:c>
      <x:c r="F51" s="14" t="n">
        <x:f>ABS(B51-E51)</x:f>
        <x:v>0</x:v>
      </x:c>
      <x:c r="G51" s="1" t="str">
        <x:v>other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1" t="str">
        <x:v>base capex usd</x:v>
      </x:c>
      <x:c r="B52" s="12" t="n">
        <x:v>48000000</x:v>
      </x:c>
      <x:c r="C52" s="1" t="str">
        <x:v>USD</x:v>
      </x:c>
      <x:c r="D52" s="1" t="str">
        <x:v>Author / illustrative</x:v>
      </x:c>
      <x:c r="E52" s="13" t="n">
        <x:v>48000000</x:v>
      </x:c>
      <x:c r="F52" s="14" t="n">
        <x:f>ABS(B52-E52)</x:f>
        <x:v>0</x:v>
      </x:c>
      <x:c r="G52" s="1" t="str">
        <x:v>other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1" t="str">
        <x:v>contingency fraction</x:v>
      </x:c>
      <x:c r="B53" s="15" t="n">
        <x:v>0.2</x:v>
      </x:c>
      <x:c r="C53" s="1" t="str">
        <x:v>fraction / scalar</x:v>
      </x:c>
      <x:c r="D53" s="1" t="str">
        <x:v>Author / illustrative</x:v>
      </x:c>
      <x:c r="E53" s="16" t="n">
        <x:v>0.2</x:v>
      </x:c>
      <x:c r="F53" s="14" t="n">
        <x:f>ABS(B53-E53)</x:f>
        <x:v>0</x:v>
      </x:c>
      <x:c r="G53" s="1" t="str">
        <x:v>other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1" t="str">
        <x:v>fixed opex usd year</x:v>
      </x:c>
      <x:c r="B54" s="12" t="n">
        <x:v>1200000</x:v>
      </x:c>
      <x:c r="C54" s="1" t="str">
        <x:v>USD/year</x:v>
      </x:c>
      <x:c r="D54" s="1" t="str">
        <x:v>Author / illustrative</x:v>
      </x:c>
      <x:c r="E54" s="13" t="n">
        <x:v>1200000</x:v>
      </x:c>
      <x:c r="F54" s="14" t="n">
        <x:f>ABS(B54-E54)</x:f>
        <x:v>0</x:v>
      </x:c>
      <x:c r="G54" s="1" t="str">
        <x:v>other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1" t="str">
        <x:v>maintenance fraction</x:v>
      </x:c>
      <x:c r="B55" s="15" t="n">
        <x:v>0.015</x:v>
      </x:c>
      <x:c r="C55" s="1" t="str">
        <x:v>fraction / scalar</x:v>
      </x:c>
      <x:c r="D55" s="1" t="str">
        <x:v>Author / illustrative</x:v>
      </x:c>
      <x:c r="E55" s="16" t="n">
        <x:v>0.015</x:v>
      </x:c>
      <x:c r="F55" s="14" t="n">
        <x:f>ABS(B55-E55)</x:f>
        <x:v>0</x:v>
      </x:c>
      <x:c r="G55" s="1" t="str">
        <x:v>other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1" t="str">
        <x:v>capacity usd kw month</x:v>
      </x:c>
      <x:c r="B56" s="12" t="n">
        <x:v>180</x:v>
      </x:c>
      <x:c r="C56" s="1" t="str">
        <x:v>USD/kW-month</x:v>
      </x:c>
      <x:c r="D56" s="1" t="str">
        <x:v>Author / illustrative</x:v>
      </x:c>
      <x:c r="E56" s="13" t="n">
        <x:v>180</x:v>
      </x:c>
      <x:c r="F56" s="14" t="n">
        <x:f>ABS(B56-E56)</x:f>
        <x:v>0</x:v>
      </x:c>
      <x:c r="G56" s="1" t="str">
        <x:v>other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1" t="str">
        <x:v>energy recovery fraction</x:v>
      </x:c>
      <x:c r="B57" s="15" t="n">
        <x:v>1</x:v>
      </x:c>
      <x:c r="C57" s="1" t="str">
        <x:v>fraction / scalar</x:v>
      </x:c>
      <x:c r="D57" s="1" t="str">
        <x:v>Author / illustrative</x:v>
      </x:c>
      <x:c r="E57" s="16" t="n">
        <x:v>1</x:v>
      </x:c>
      <x:c r="F57" s="14" t="n">
        <x:f>ABS(B57-E57)</x:f>
        <x:v>0</x:v>
      </x:c>
      <x:c r="G57" s="1" t="str">
        <x:v>other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1" t="str">
        <x:v>discount rate</x:v>
      </x:c>
      <x:c r="B58" s="15" t="n">
        <x:v>0.1</x:v>
      </x:c>
      <x:c r="C58" s="1" t="str">
        <x:v>fraction / scalar</x:v>
      </x:c>
      <x:c r="D58" s="1" t="str">
        <x:v>Author / illustrative</x:v>
      </x:c>
      <x:c r="E58" s="16" t="n">
        <x:v>0.1</x:v>
      </x:c>
      <x:c r="F58" s="14" t="n">
        <x:f>ABS(B58-E58)</x:f>
        <x:v>0</x:v>
      </x:c>
      <x:c r="G58" s="1" t="str">
        <x:v>other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1" t="str">
        <x:v>escalation</x:v>
      </x:c>
      <x:c r="B59" s="15" t="n">
        <x:v>0.02</x:v>
      </x:c>
      <x:c r="C59" s="1" t="str">
        <x:v>fraction / scalar</x:v>
      </x:c>
      <x:c r="D59" s="1" t="str">
        <x:v>Author / illustrative</x:v>
      </x:c>
      <x:c r="E59" s="16" t="n">
        <x:v>0.02</x:v>
      </x:c>
      <x:c r="F59" s="14" t="n">
        <x:f>ABS(B59-E59)</x:f>
        <x:v>0</x:v>
      </x:c>
      <x:c r="G59" s="1" t="str">
        <x:v>other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1" t="str">
        <x:v>replacement year</x:v>
      </x:c>
      <x:c r="B60" s="12" t="n">
        <x:v>8</x:v>
      </x:c>
      <x:c r="C60" s="1" t="str">
        <x:v>year index</x:v>
      </x:c>
      <x:c r="D60" s="1" t="str">
        <x:v>Author / illustrative</x:v>
      </x:c>
      <x:c r="E60" s="13" t="n">
        <x:v>8</x:v>
      </x:c>
      <x:c r="F60" s="14" t="n">
        <x:f>ABS(B60-E60)</x:f>
        <x:v>0</x:v>
      </x:c>
      <x:c r="G60" s="1" t="str">
        <x:v>other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1" t="str">
        <x:v>replacement usd</x:v>
      </x:c>
      <x:c r="B61" s="12" t="n">
        <x:v>3000000</x:v>
      </x:c>
      <x:c r="C61" s="1" t="str">
        <x:v>USD</x:v>
      </x:c>
      <x:c r="D61" s="1" t="str">
        <x:v>Author / illustrative</x:v>
      </x:c>
      <x:c r="E61" s="13" t="n">
        <x:v>3000000</x:v>
      </x:c>
      <x:c r="F61" s="14" t="n">
        <x:f>ABS(B61-E61)</x:f>
        <x:v>0</x:v>
      </x:c>
      <x:c r="G61" s="1" t="str">
        <x:v>other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1" t="str">
        <x:v>residual fraction</x:v>
      </x:c>
      <x:c r="B62" s="15" t="n">
        <x:v>0.15</x:v>
      </x:c>
      <x:c r="C62" s="1" t="str">
        <x:v>fraction / scalar</x:v>
      </x:c>
      <x:c r="D62" s="1" t="str">
        <x:v>Author / illustrative</x:v>
      </x:c>
      <x:c r="E62" s="16" t="n">
        <x:v>0.15</x:v>
      </x:c>
      <x:c r="F62" s="14" t="n">
        <x:f>ABS(B62-E62)</x:f>
        <x:v>0</x:v>
      </x:c>
      <x:c r="G62" s="1" t="str">
        <x:v>other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1" t="str">
        <x:v>path unavailability</x:v>
      </x:c>
      <x:c r="B63" s="15" t="n">
        <x:v>0.02</x:v>
      </x:c>
      <x:c r="C63" s="1" t="str">
        <x:v>fraction / scalar</x:v>
      </x:c>
      <x:c r="D63" s="1" t="str">
        <x:v>Author / illustrative</x:v>
      </x:c>
      <x:c r="E63" s="16" t="n">
        <x:v>0.02</x:v>
      </x:c>
      <x:c r="F63" s="14" t="n">
        <x:f>ABS(B63-E63)</x:f>
        <x:v>0</x:v>
      </x:c>
      <x:c r="G63" s="1" t="str">
        <x:v>other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1" t="str">
        <x:v>common cause unavailability</x:v>
      </x:c>
      <x:c r="B64" s="15" t="n">
        <x:v>0.001</x:v>
      </x:c>
      <x:c r="C64" s="1" t="str">
        <x:v>fraction / scalar</x:v>
      </x:c>
      <x:c r="D64" s="1" t="str">
        <x:v>Author / illustrative</x:v>
      </x:c>
      <x:c r="E64" s="16" t="n">
        <x:v>0.001</x:v>
      </x:c>
      <x:c r="F64" s="14" t="n">
        <x:f>ABS(B64-E64)</x:f>
        <x:v>0</x:v>
      </x:c>
      <x:c r="G64" s="1" t="str">
        <x:v>other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1" t="str">
        <x:v>reliability samples</x:v>
      </x:c>
      <x:c r="B65" s="12" t="n">
        <x:v>100000</x:v>
      </x:c>
      <x:c r="C65" s="1" t="str">
        <x:v>count</x:v>
      </x:c>
      <x:c r="D65" s="1" t="str">
        <x:v>Author / illustrative</x:v>
      </x:c>
      <x:c r="E65" s="13" t="n">
        <x:v>100000</x:v>
      </x:c>
      <x:c r="F65" s="14" t="n">
        <x:f>ABS(B65-E65)</x:f>
        <x:v>0</x:v>
      </x:c>
      <x:c r="G65" s="1" t="str">
        <x:v>other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1" t="str">
        <x:v>seed</x:v>
      </x:c>
      <x:c r="B66" s="12" t="n">
        <x:v>42</x:v>
      </x:c>
      <x:c r="C66" s="1" t="str">
        <x:v>count</x:v>
      </x:c>
      <x:c r="D66" s="1" t="str">
        <x:v>Author / illustrative</x:v>
      </x:c>
      <x:c r="E66" s="13" t="n">
        <x:v>42</x:v>
      </x:c>
      <x:c r="F66" s="14" t="n">
        <x:f>ABS(B66-E66)</x:f>
        <x:v>0</x:v>
      </x:c>
      <x:c r="G66" s="1" t="str">
        <x:v>other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G2"/>
    <x:mergeCell ref="A3:G3"/>
  </x:mergeCells>
  <x:dataValidations count="61">
    <x:dataValidation type="decimal" operator="between" sqref="B6">
      <x:formula1>1</x:formula1>
      <x:formula2>1000000</x:formula2>
    </x:dataValidation>
    <x:dataValidation type="whole" operator="between" sqref="B7">
      <x:formula1>1</x:formula1>
      <x:formula2>100</x:formula2>
    </x:dataValidation>
    <x:dataValidation type="whole" operator="between" sqref="B8">
      <x:formula1>1</x:formula1>
      <x:formula2>1000</x:formula2>
    </x:dataValidation>
    <x:dataValidation type="decimal" operator="between" sqref="B9">
      <x:formula1>0.1</x:formula1>
      <x:formula2>1000</x:formula2>
    </x:dataValidation>
    <x:dataValidation type="decimal" operator="between" sqref="B10">
      <x:formula1>-30</x:formula1>
      <x:formula2>60</x:formula2>
    </x:dataValidation>
    <x:dataValidation type="decimal" operator="between" sqref="B11">
      <x:formula1>0.5</x:formula1>
      <x:formula2>1</x:formula2>
    </x:dataValidation>
    <x:dataValidation type="decimal" operator="between" sqref="B12">
      <x:formula1>0.5</x:formula1>
      <x:formula2>1</x:formula2>
    </x:dataValidation>
    <x:dataValidation type="decimal" operator="between" sqref="B13">
      <x:formula1>0.5</x:formula1>
      <x:formula2>1</x:formula2>
    </x:dataValidation>
    <x:dataValidation type="decimal" operator="between" sqref="B14">
      <x:formula1>0.5</x:formula1>
      <x:formula2>1</x:formula2>
    </x:dataValidation>
    <x:dataValidation type="decimal" operator="between" sqref="B15">
      <x:formula1>0</x:formula1>
      <x:formula2>1</x:formula2>
    </x:dataValidation>
    <x:dataValidation type="decimal" operator="between" sqref="B16">
      <x:formula1>1</x:formula1>
      <x:formula2>100000</x:formula2>
    </x:dataValidation>
    <x:dataValidation type="decimal" operator="between" sqref="B17">
      <x:formula1>1</x:formula1>
      <x:formula2>100000</x:formula2>
    </x:dataValidation>
    <x:dataValidation type="decimal" operator="between" sqref="B18">
      <x:formula1>1</x:formula1>
      <x:formula2>100000</x:formula2>
    </x:dataValidation>
    <x:dataValidation type="decimal" operator="between" sqref="B19">
      <x:formula1>0.1</x:formula1>
      <x:formula2>1</x:formula2>
    </x:dataValidation>
    <x:dataValidation type="decimal" operator="between" sqref="B20">
      <x:formula1>1</x:formula1>
      <x:formula2>240</x:formula2>
    </x:dataValidation>
    <x:dataValidation type="decimal" operator="between" sqref="B21">
      <x:formula1>0.1</x:formula1>
      <x:formula2>1</x:formula2>
    </x:dataValidation>
    <x:dataValidation type="decimal" operator="between" sqref="B22">
      <x:formula1>0.1</x:formula1>
      <x:formula2>1</x:formula2>
    </x:dataValidation>
    <x:dataValidation type="decimal" operator="between" sqref="B23">
      <x:formula1>0.1</x:formula1>
      <x:formula2>1</x:formula2>
    </x:dataValidation>
    <x:dataValidation type="decimal" operator="between" sqref="B24">
      <x:formula1>0</x:formula1>
      <x:formula2>1</x:formula2>
    </x:dataValidation>
    <x:dataValidation type="decimal" operator="between" sqref="B25">
      <x:formula1>1</x:formula1>
      <x:formula2>20</x:formula2>
    </x:dataValidation>
    <x:dataValidation type="decimal" operator="between" sqref="B26">
      <x:formula1>0</x:formula1>
      <x:formula2>1</x:formula2>
    </x:dataValidation>
    <x:dataValidation type="decimal" operator="between" sqref="B27">
      <x:formula1>1</x:formula1>
      <x:formula2>10</x:formula2>
    </x:dataValidation>
    <x:dataValidation type="decimal" operator="between" sqref="B28">
      <x:formula1>1</x:formula1>
      <x:formula2>100000</x:formula2>
    </x:dataValidation>
    <x:dataValidation type="decimal" operator="between" sqref="B29">
      <x:formula1>1</x:formula1>
      <x:formula2>100000</x:formula2>
    </x:dataValidation>
    <x:dataValidation type="decimal" operator="between" sqref="B30">
      <x:formula1>0</x:formula1>
      <x:formula2>0.5</x:formula2>
    </x:dataValidation>
    <x:dataValidation type="decimal" operator="between" sqref="B31">
      <x:formula1>0</x:formula1>
      <x:formula2>0.5</x:formula2>
    </x:dataValidation>
    <x:dataValidation type="decimal" operator="between" sqref="B32">
      <x:formula1>0</x:formula1>
      <x:formula2>100000</x:formula2>
    </x:dataValidation>
    <x:dataValidation type="decimal" operator="between" sqref="B33">
      <x:formula1>0</x:formula1>
      <x:formula2>100000</x:formula2>
    </x:dataValidation>
    <x:dataValidation type="decimal" operator="between" sqref="B34">
      <x:formula1>0.5</x:formula1>
      <x:formula2>30</x:formula2>
    </x:dataValidation>
    <x:dataValidation type="decimal" operator="between" sqref="B35">
      <x:formula1>0.5</x:formula1>
      <x:formula2>50</x:formula2>
    </x:dataValidation>
    <x:dataValidation type="decimal" operator="between" sqref="B36">
      <x:formula1>0</x:formula1>
      <x:formula2>1</x:formula2>
    </x:dataValidation>
    <x:dataValidation type="decimal" operator="between" sqref="B37">
      <x:formula1>0</x:formula1>
      <x:formula2>0.5</x:formula2>
    </x:dataValidation>
    <x:dataValidation type="decimal" operator="between" sqref="B38">
      <x:formula1>-30</x:formula1>
      <x:formula2>60</x:formula2>
    </x:dataValidation>
    <x:dataValidation type="decimal" operator="between" sqref="B39">
      <x:formula1>0</x:formula1>
      <x:formula2>30</x:formula2>
    </x:dataValidation>
    <x:dataValidation type="decimal" operator="between" sqref="B40">
      <x:formula1>0</x:formula1>
      <x:formula2>30</x:formula2>
    </x:dataValidation>
    <x:dataValidation type="decimal" operator="between" sqref="B41">
      <x:formula1>0</x:formula1>
      <x:formula2>10</x:formula2>
    </x:dataValidation>
    <x:dataValidation type="decimal" operator="between" sqref="B42">
      <x:formula1>0</x:formula1>
      <x:formula2>1000</x:formula2>
    </x:dataValidation>
    <x:dataValidation type="decimal" operator="between" sqref="B43">
      <x:formula1>0</x:formula1>
      <x:formula2>3</x:formula2>
    </x:dataValidation>
    <x:dataValidation type="decimal" operator="between" sqref="B44">
      <x:formula1>0</x:formula1>
      <x:formula2>10</x:formula2>
    </x:dataValidation>
    <x:dataValidation type="decimal" operator="between" sqref="B45">
      <x:formula1>0</x:formula1>
      <x:formula2>1000000</x:formula2>
    </x:dataValidation>
    <x:dataValidation type="decimal" operator="between" sqref="B46">
      <x:formula1>0</x:formula1>
      <x:formula2>1</x:formula2>
    </x:dataValidation>
    <x:dataValidation type="decimal" operator="between" sqref="B47">
      <x:formula1>0</x:formula1>
      <x:formula2>1000000</x:formula2>
    </x:dataValidation>
    <x:dataValidation type="decimal" operator="between" sqref="B48">
      <x:formula1>0</x:formula1>
      <x:formula2>100</x:formula2>
    </x:dataValidation>
    <x:dataValidation type="decimal" operator="between" sqref="B49">
      <x:formula1>0.1</x:formula1>
      <x:formula2>1</x:formula2>
    </x:dataValidation>
    <x:dataValidation type="decimal" operator="between" sqref="B50">
      <x:formula1>0.1</x:formula1>
      <x:formula2>1</x:formula2>
    </x:dataValidation>
    <x:dataValidation type="decimal" operator="between" sqref="B51">
      <x:formula1>0.1</x:formula1>
      <x:formula2>1</x:formula2>
    </x:dataValidation>
    <x:dataValidation type="decimal" operator="between" sqref="B52">
      <x:formula1>1</x:formula1>
      <x:formula2>1000000000000</x:formula2>
    </x:dataValidation>
    <x:dataValidation type="decimal" operator="between" sqref="B53">
      <x:formula1>0</x:formula1>
      <x:formula2>1</x:formula2>
    </x:dataValidation>
    <x:dataValidation type="decimal" operator="between" sqref="B54">
      <x:formula1>0</x:formula1>
      <x:formula2>1000000000000</x:formula2>
    </x:dataValidation>
    <x:dataValidation type="decimal" operator="between" sqref="B55">
      <x:formula1>0</x:formula1>
      <x:formula2>1</x:formula2>
    </x:dataValidation>
    <x:dataValidation type="decimal" operator="between" sqref="B56">
      <x:formula1>0</x:formula1>
      <x:formula2>10000</x:formula2>
    </x:dataValidation>
    <x:dataValidation type="decimal" operator="between" sqref="B57">
      <x:formula1>0</x:formula1>
      <x:formula2>1</x:formula2>
    </x:dataValidation>
    <x:dataValidation type="decimal" operator="between" sqref="B58">
      <x:formula1>0</x:formula1>
      <x:formula2>1</x:formula2>
    </x:dataValidation>
    <x:dataValidation type="decimal" operator="between" sqref="B59">
      <x:formula1>-0.1</x:formula1>
      <x:formula2>0.5</x:formula2>
    </x:dataValidation>
    <x:dataValidation type="whole" operator="between" sqref="B60">
      <x:formula1>1</x:formula1>
      <x:formula2>50</x:formula2>
    </x:dataValidation>
    <x:dataValidation type="decimal" operator="between" sqref="B61">
      <x:formula1>0</x:formula1>
      <x:formula2>1000000000000</x:formula2>
    </x:dataValidation>
    <x:dataValidation type="decimal" operator="between" sqref="B62">
      <x:formula1>0</x:formula1>
      <x:formula2>1</x:formula2>
    </x:dataValidation>
    <x:dataValidation type="decimal" operator="between" sqref="B63">
      <x:formula1>0</x:formula1>
      <x:formula2>1</x:formula2>
    </x:dataValidation>
    <x:dataValidation type="decimal" operator="between" sqref="B64">
      <x:formula1>0</x:formula1>
      <x:formula2>1</x:formula2>
    </x:dataValidation>
    <x:dataValidation type="whole" operator="between" sqref="B65">
      <x:formula1>100</x:formula1>
      <x:formula2>1000000</x:formula2>
    </x:dataValidation>
    <x:dataValidation type="whole" operator="between" sqref="B66">
      <x:formula1>0</x:formula1>
      <x:formula2>2147483647</x:formula2>
    </x:dataValidation>
  </x:dataValidations>
  <x:pageMargins left="0.7" right="0.7" top="0.75" bottom="0.75" header="0.3" footer="0.3"/>
  <x:legacyDrawing xmlns:r="http://schemas.openxmlformats.org/officeDocument/2006/relationships" r:id="R0c6e55efc9394e8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48" hidden="0" customWidth="1"/>
  </x:cols>
  <x:sheetData>
    <x:row r="1">
      <x:c r="A1" s="3" t="str">
        <x:v>ENGINEERING / STEADY-STATE SCREEN</x:v>
      </x:c>
      <x:c r="B1" s="3"/>
      <x:c r="C1" s="3"/>
      <x:c r="D1" s="3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/>
      <x:c r="B2" s="3"/>
      <x:c r="C2" s="3"/>
      <x:c r="D2" s="3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32" customHeight="1">
      <x:c r="A3" s="5" t="str">
        <x:v>Concept / synthetic assumptions | nominal USD | 3 September 2026</x:v>
      </x:c>
      <x:c r="B3" s="5"/>
      <x:c r="C3" s="5"/>
      <x:c r="D3" s="5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Quantity</x:v>
      </x:c>
      <x:c r="B5" s="8" t="str">
        <x:v>Result</x:v>
      </x:c>
      <x:c r="C5" s="8" t="str">
        <x:v>Units</x:v>
      </x:c>
      <x:c r="D5" s="8" t="str">
        <x:v>Boundary / method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6" customHeight="1">
      <x:c r="A6" s="1" t="str">
        <x:v>Design IT</x:v>
      </x:c>
      <x:c r="B6" s="18" t="n">
        <x:f>'Inputs'!$B$7*'Inputs'!$B$8*'Inputs'!$B$9</x:f>
        <x:v>5000</x:v>
      </x:c>
      <x:c r="C6" s="1" t="str">
        <x:v>kW</x:v>
      </x:c>
      <x:c r="D6" s="1" t="str">
        <x:v>Hall × rack count × rack design power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6" customHeight="1">
      <x:c r="A7" s="1" t="str">
        <x:v>Distribution loss</x:v>
      </x:c>
      <x:c r="B7" s="18" t="n">
        <x:f>B6/'Inputs'!$B$12-B6</x:f>
        <x:v>50.50505050505035</x:v>
      </x:c>
      <x:c r="C7" s="1" t="str">
        <x:v>kW</x:v>
      </x:c>
      <x:c r="D7" s="1" t="str">
        <x:v>Downstream of UPS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6" customHeight="1">
      <x:c r="A8" s="1" t="str">
        <x:v>UPS loss</x:v>
      </x:c>
      <x:c r="B8" s="18" t="n">
        <x:f>(B6+B7)/'Inputs'!$B$11-B6-B7</x:f>
        <x:v>183.17893965562416</x:v>
      </x:c>
      <x:c r="C8" s="1" t="str">
        <x:v>kW</x:v>
      </x:c>
      <x:c r="D8" s="1" t="str">
        <x:v>Conditioned heat allowance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6" customHeight="1">
      <x:c r="A9" s="1" t="str">
        <x:v>Terminal fans</x:v>
      </x:c>
      <x:c r="B9" s="18" t="n">
        <x:f>B6*(1-'Inputs'!$B$24)*'Inputs'!$B$30</x:f>
        <x:v>70</x:v>
      </x:c>
      <x:c r="C9" s="1" t="str">
        <x:v>kW</x:v>
      </x:c>
      <x:c r="D9" s="1" t="str">
        <x:v>Air-cooled IT only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6" customHeight="1">
      <x:c r="A10" s="1" t="str">
        <x:v>Design chilled load</x:v>
      </x:c>
      <x:c r="B10" s="18" t="n">
        <x:f>SUM(B6:B9)+'Inputs'!$B$32</x:f>
        <x:v>5383.6839901606745</x:v>
      </x:c>
      <x:c r="C10" s="1" t="str">
        <x:v>kWth</x:v>
      </x:c>
      <x:c r="D10" s="1" t="str">
        <x:v>IT + losses + fan heat + envelope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6" customHeight="1">
      <x:c r="A11" s="1" t="str">
        <x:v>Design COP</x:v>
      </x:c>
      <x:c r="B11" s="18" t="n">
        <x:f>MAX('Inputs'!$B$27,'Inputs'!$B$25-'Inputs'!$B$26*('Inputs'!$B$10-30))</x:f>
        <x:v>4.15</x:v>
      </x:c>
      <x:c r="C11" s="1" t="str">
        <x:v>ratio</x:v>
      </x:c>
      <x:c r="D11" s="1" t="str">
        <x:v>Original curve at design ambient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6" customHeight="1">
      <x:c r="A12" s="1" t="str">
        <x:v>Compressor</x:v>
      </x:c>
      <x:c r="B12" s="14" t="n">
        <x:f>B10/B11</x:f>
        <x:v>1297.2732506411262</x:v>
      </x:c>
      <x:c r="C12" s="1" t="str">
        <x:v>kW</x:v>
      </x:c>
      <x:c r="D12" s="1" t="str">
        <x:v>Chilled load / COP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6" customHeight="1">
      <x:c r="A13" s="1" t="str">
        <x:v>Pumps</x:v>
      </x:c>
      <x:c r="B13" s="18" t="n">
        <x:f>B10*'Inputs'!$B$31</x:f>
        <x:v>64.60420788192809</x:v>
      </x:c>
      <x:c r="C13" s="1" t="str">
        <x:v>kW</x:v>
      </x:c>
      <x:c r="D13" s="1" t="str">
        <x:v>Energy allowance; no pump selection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6" customHeight="1">
      <x:c r="A14" s="1" t="str">
        <x:v>Other facility</x:v>
      </x:c>
      <x:c r="B14" s="18" t="n">
        <x:f>'Inputs'!$B$33</x:f>
        <x:v>80</x:v>
      </x:c>
      <x:c r="C14" s="1" t="str">
        <x:v>kW</x:v>
      </x:c>
      <x:c r="D14" s="1" t="str">
        <x:v>Outside conditioned boundary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6" customHeight="1">
      <x:c r="A15" s="1" t="str">
        <x:v>Transformer loss</x:v>
      </x:c>
      <x:c r="B15" s="18" t="n">
        <x:f>(SUM(B6:B9)+SUM(B12:B14))/'Inputs'!$B$13-(SUM(B6:B9)+SUM(B12:B14))</x:f>
        <x:v>68.13698433013906</x:v>
      </x:c>
      <x:c r="C15" s="1" t="str">
        <x:v>kW</x:v>
      </x:c>
      <x:c r="D15" s="1" t="str">
        <x:v>All downstream electrical demand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6" customHeight="1">
      <x:c r="A16" s="1" t="str">
        <x:v>Design facility input</x:v>
      </x:c>
      <x:c r="B16" s="14" t="n">
        <x:f>SUM(B6:B9)+SUM(B12:B15)</x:f>
        <x:v>6813.6984330138675</x:v>
      </x:c>
      <x:c r="C16" s="1" t="str">
        <x:v>kW</x:v>
      </x:c>
      <x:c r="D16" s="1" t="str">
        <x:v>Before sizing margin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6" customHeight="1">
      <x:c r="A17" s="1" t="str">
        <x:v>UPS modules per path</x:v>
      </x:c>
      <x:c r="B17" s="19" t="n">
        <x:f>ROUNDUP(B6/'Inputs'!$B$12*(1+'Inputs'!$B$15)/'Inputs'!$B$16,0)+1</x:f>
        <x:v>6</x:v>
      </x:c>
      <x:c r="C17" s="1" t="str">
        <x:v>count</x:v>
      </x:c>
      <x:c r="D17" s="1" t="str">
        <x:v>Full load N+1 on each path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6" customHeight="1">
      <x:c r="A18" s="1" t="str">
        <x:v>Transformers per path</x:v>
      </x:c>
      <x:c r="B18" s="19" t="n">
        <x:f>ROUNDUP(B16*(1+'Inputs'!$B$15)/'Inputs'!$B$14/'Inputs'!$B$17,0)+1</x:f>
        <x:v>3</x:v>
      </x:c>
      <x:c r="C18" s="1" t="str">
        <x:v>count</x:v>
      </x:c>
      <x:c r="D18" s="1" t="str">
        <x:v>Full facility kVA N+1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6" customHeight="1">
      <x:c r="A19" s="1" t="str">
        <x:v>Generators per path</x:v>
      </x:c>
      <x:c r="B19" s="19" t="n">
        <x:f>ROUNDUP(B16*(1+'Inputs'!$B$15)/('Inputs'!$B$18*'Inputs'!$B$19),0)+1</x:f>
        <x:v>4</x:v>
      </x:c>
      <x:c r="C19" s="1" t="str">
        <x:v>count</x:v>
      </x:c>
      <x:c r="D19" s="1" t="str">
        <x:v>Derated full facility kW N+1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6" customHeight="1">
      <x:c r="A20" s="1" t="str">
        <x:v>Chillers shared</x:v>
      </x:c>
      <x:c r="B20" s="19" t="n">
        <x:f>ROUNDUP(B10*(1+'Inputs'!$B$15)/'Inputs'!$B$28,0)+1</x:f>
        <x:v>6</x:v>
      </x:c>
      <x:c r="C20" s="1" t="str">
        <x:v>count</x:v>
      </x:c>
      <x:c r="D20" s="1" t="str">
        <x:v>N+1 plant; shared-loop exposure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6" customHeight="1">
      <x:c r="A21" s="1" t="str">
        <x:v>CDUs per hall</x:v>
      </x:c>
      <x:c r="B21" s="19" t="n">
        <x:f>IF('Inputs'!$B$24&gt;0,ROUNDUP(B6*'Inputs'!$B$24*(1+'Inputs'!$B$15)/'Inputs'!$B$7/'Inputs'!$B$29,0)+1,0)</x:f>
        <x:v>2</x:v>
      </x:c>
      <x:c r="C21" s="1" t="str">
        <x:v>count</x:v>
      </x:c>
      <x:c r="D21" s="1" t="str">
        <x:v>Local N+1 heat allowance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6" customHeight="1">
      <x:c r="A22" s="1" t="str">
        <x:v>Battery per path</x:v>
      </x:c>
      <x:c r="B22" s="18" t="n">
        <x:f>B6/'Inputs'!$B$12*'Inputs'!$B$20/60/('Inputs'!$B$21*'Inputs'!$B$22*'Inputs'!$B$23)</x:f>
        <x:v>1370.0371773288437</x:v>
      </x:c>
      <x:c r="C22" s="1" t="str">
        <x:v>kWh</x:v>
      </x:c>
      <x:c r="D22" s="1" t="str">
        <x:v>IT UPS output only; energy screen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6" customHeight="1">
      <x:c r="A23" s="1" t="str">
        <x:v>CHW mass flow</x:v>
      </x:c>
      <x:c r="B23" s="18" t="n">
        <x:f>B10/(4.186*'Inputs'!$B$34)</x:f>
        <x:v>214.35276278709486</x:v>
      </x:c>
      <x:c r="C23" s="1" t="str">
        <x:v>kg/s</x:v>
      </x:c>
      <x:c r="D23" s="1" t="str">
        <x:v>Constant water cp; no hydraulics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6" customHeight="1">
      <x:c r="A24" s="1" t="str">
        <x:v>Liquid IT heat</x:v>
      </x:c>
      <x:c r="B24" s="18" t="n">
        <x:f>B6*'Inputs'!$B$24</x:f>
        <x:v>1500</x:v>
      </x:c>
      <x:c r="C24" s="1" t="str">
        <x:v>kWth</x:v>
      </x:c>
      <x:c r="D24" s="1" t="str">
        <x:v>IT heat split only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6" customHeight="1">
      <x:c r="A25" s="1" t="str">
        <x:v>Air-side flow</x:v>
      </x:c>
      <x:c r="B25" s="18" t="n">
        <x:f>(B6-B24+B9)/(1.2*1.006*'Inputs'!$B$35)</x:f>
        <x:v>246.43803843605036</x:v>
      </x:c>
      <x:c r="C25" s="1" t="str">
        <x:v>m3/s</x:v>
      </x:c>
      <x:c r="D25" s="1" t="str">
        <x:v>Air IT + fan heat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6" customHeight="1">
      <x:c r="A26" s="1" t="str">
        <x:v>BESS nameplate</x:v>
      </x:c>
      <x:c r="B26" s="18" t="n">
        <x:f>'Inputs'!$B$47*'Inputs'!$B$48/('Inputs'!$B$49*'Inputs'!$B$50*'Inputs'!$B$51)</x:f>
        <x:v>3396.739130434782</x:v>
      </x:c>
      <x:c r="C26" s="1" t="str">
        <x:v>kWh</x:v>
      </x:c>
      <x:c r="D26" s="1" t="str">
        <x:v>Separate allowance; no annual dispatch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5" t="str">
        <x:v>Screening equations only. Constants: 30 C COP reference; 60 min/hour; water cp 4.186 kJ/kg-K; air density 1.2 kg/m3 and cp 1.006 kJ/kg-K.</x:v>
      </x:c>
      <x:c r="B28" s="5"/>
      <x:c r="C28" s="5"/>
      <x:c r="D28" s="5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5"/>
      <x:c r="B29" s="5"/>
      <x:c r="C29" s="5"/>
      <x:c r="D29" s="5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D2"/>
    <x:mergeCell ref="A3:D3"/>
    <x:mergeCell ref="A28:D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5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3" t="str">
        <x:v>ENERGY / IMPORTED PHYSICS, EDITABLE TARIFF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/>
      <x:c r="B2" s="3"/>
      <x:c r="C2" s="3"/>
      <x:c r="D2" s="3"/>
      <x:c r="E2" s="3"/>
      <x:c r="F2" s="3"/>
      <x:c r="G2" s="3"/>
      <x:c r="H2" s="3"/>
      <x:c r="I2" s="1"/>
      <x:c r="J2" s="1"/>
      <x:c r="K2" s="1"/>
      <x:c r="L2" s="1"/>
      <x:c r="M2" s="1"/>
      <x:c r="N2" s="1"/>
      <x:c r="O2" s="1"/>
      <x:c r="P2" s="1"/>
      <x:c r="Q2" s="1"/>
    </x:row>
    <x:row r="3" ht="32" customHeight="1">
      <x:c r="A3" s="5" t="str">
        <x:v>Imported from the Python 8760-hour model. Physical changes require a new energy run and refreshed table.</x:v>
      </x:c>
      <x:c r="B3" s="5"/>
      <x:c r="C3" s="5"/>
      <x:c r="D3" s="5"/>
      <x:c r="E3" s="5"/>
      <x:c r="F3" s="5"/>
      <x:c r="G3" s="5"/>
      <x:c r="H3" s="5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Occupancy</x:v>
      </x:c>
      <x:c r="B5" s="8" t="str">
        <x:v>IT kWh</x:v>
      </x:c>
      <x:c r="C5" s="8" t="str">
        <x:v>Facility kWh</x:v>
      </x:c>
      <x:c r="D5" s="8" t="str">
        <x:v>Grid kWh</x:v>
      </x:c>
      <x:c r="E5" s="8" t="str">
        <x:v>Sum monthly peaks kW</x:v>
      </x:c>
      <x:c r="F5" s="8" t="str">
        <x:v>Electricity USD</x:v>
      </x:c>
      <x:c r="G5" s="8" t="str">
        <x:v>Annual PUE</x:v>
      </x:c>
      <x:c r="H5" s="8" t="str">
        <x:v>Lookup valid</x:v>
      </x:c>
      <x:c r="I5" s="1"/>
      <x:c r="J5" s="1"/>
      <x:c r="K5" s="1"/>
      <x:c r="L5" s="1"/>
      <x:c r="M5" s="1"/>
      <x:c r="N5" s="1"/>
      <x:c r="O5" s="1"/>
      <x:c r="P5" s="1"/>
      <x:c r="Q5" s="1"/>
    </x:row>
    <x:row r="6" ht="25" customHeight="1">
      <x:c r="A6" s="20" t="n">
        <x:v>0</x:v>
      </x:c>
      <x:c r="B6" s="21" t="n">
        <x:v>0</x:v>
      </x:c>
      <x:c r="C6" s="21" t="n">
        <x:v>871635.3395234616</x:v>
      </x:c>
      <x:c r="D6" s="21" t="n">
        <x:v>871635.3395234616</x:v>
      </x:c>
      <x:c r="E6" s="21" t="n">
        <x:v>1208.6489674431912</x:v>
      </x:c>
      <x:c r="F6" s="22" t="n">
        <x:f>D6*'Inputs'!$B$41+E6*'Inputs'!$B$42</x:f>
        <x:v>93206.77878956213</x:v>
      </x:c>
      <x:c r="G6" s="23" t="str">
        <x:f>IF(B6&gt;0,C6/B6,"undefined")</x:f>
        <x:v>undefined</x:v>
      </x:c>
      <x:c r="H6" s="24" t="n">
        <x:v>1</x:v>
      </x:c>
      <x:c r="I6" s="1"/>
      <x:c r="J6" s="1"/>
      <x:c r="K6" s="1"/>
      <x:c r="L6" s="1"/>
      <x:c r="M6" s="1"/>
      <x:c r="N6" s="1"/>
      <x:c r="O6" s="1"/>
      <x:c r="P6" s="1"/>
      <x:c r="Q6" s="1"/>
    </x:row>
    <x:row r="7" ht="25" customHeight="1">
      <x:c r="A7" s="20" t="n">
        <x:v>0.05</x:v>
      </x:c>
      <x:c r="B7" s="21" t="n">
        <x:v>1642500</x:v>
      </x:c>
      <x:c r="C7" s="21" t="n">
        <x:v>3040135.383500937</x:v>
      </x:c>
      <x:c r="D7" s="21" t="n">
        <x:v>3040135.383500937</x:v>
      </x:c>
      <x:c r="E7" s="21" t="n">
        <x:v>4612.179387971465</x:v>
      </x:c>
      <x:c r="F7" s="22" t="n">
        <x:f>D7*'Inputs'!$B$41+E7*'Inputs'!$B$42</x:f>
        <x:v>327074.43528995104</x:v>
      </x:c>
      <x:c r="G7" s="23" t="n">
        <x:f>IF(B7&gt;0,C7/B7,"undefined")</x:f>
        <x:v>1.850919563775304</x:v>
      </x:c>
      <x:c r="H7" s="24" t="n">
        <x:v>1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25" customHeight="1">
      <x:c r="A8" s="20" t="n">
        <x:v>0.1</x:v>
      </x:c>
      <x:c r="B8" s="21" t="n">
        <x:v>3285000</x:v>
      </x:c>
      <x:c r="C8" s="21" t="n">
        <x:v>5208635.427478412</x:v>
      </x:c>
      <x:c r="D8" s="21" t="n">
        <x:v>5208635.427478412</x:v>
      </x:c>
      <x:c r="E8" s="21" t="n">
        <x:v>8016.217276095931</x:v>
      </x:c>
      <x:c r="F8" s="22" t="n">
        <x:f>D8*'Inputs'!$B$41+E8*'Inputs'!$B$42</x:f>
        <x:v>560944.6291283208</x:v>
      </x:c>
      <x:c r="G8" s="23" t="n">
        <x:f>IF(B8&gt;0,C8/B8,"undefined")</x:f>
        <x:v>1.585581560876229</x:v>
      </x:c>
      <x:c r="H8" s="24" t="n">
        <x:v>1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25" customHeight="1">
      <x:c r="A9" s="20" t="n">
        <x:v>0.15</x:v>
      </x:c>
      <x:c r="B9" s="21" t="n">
        <x:v>4927500</x:v>
      </x:c>
      <x:c r="C9" s="21" t="n">
        <x:v>7377135.471455887</x:v>
      </x:c>
      <x:c r="D9" s="21" t="n">
        <x:v>7377135.471455887</x:v>
      </x:c>
      <x:c r="E9" s="21" t="n">
        <x:v>11420.255164220398</x:v>
      </x:c>
      <x:c r="F9" s="22" t="n">
        <x:f>D9*'Inputs'!$B$41+E9*'Inputs'!$B$42</x:f>
        <x:v>794814.8229666908</x:v>
      </x:c>
      <x:c r="G9" s="23" t="n">
        <x:f>IF(B9&gt;0,C9/B9,"undefined")</x:f>
        <x:v>1.4971355599098706</x:v>
      </x:c>
      <x:c r="H9" s="24" t="n">
        <x:v>1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25" customHeight="1">
      <x:c r="A10" s="20" t="n">
        <x:v>0.2</x:v>
      </x:c>
      <x:c r="B10" s="21" t="n">
        <x:v>6570000</x:v>
      </x:c>
      <x:c r="C10" s="21" t="n">
        <x:v>9545635.515433364</x:v>
      </x:c>
      <x:c r="D10" s="21" t="n">
        <x:v>9545635.515433364</x:v>
      </x:c>
      <x:c r="E10" s="21" t="n">
        <x:v>14824.293052344863</x:v>
      </x:c>
      <x:c r="F10" s="22" t="n">
        <x:f>D10*'Inputs'!$B$41+E10*'Inputs'!$B$42</x:f>
        <x:v>1028685.0168050607</x:v>
      </x:c>
      <x:c r="G10" s="23" t="n">
        <x:f>IF(B10&gt;0,C10/B10,"undefined")</x:f>
        <x:v>1.4529125594266916</x:v>
      </x:c>
      <x:c r="H10" s="24" t="n">
        <x:v>1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5" customHeight="1">
      <x:c r="A11" s="20" t="n">
        <x:v>0.25</x:v>
      </x:c>
      <x:c r="B11" s="21" t="n">
        <x:v>8212500</x:v>
      </x:c>
      <x:c r="C11" s="21" t="n">
        <x:v>11714135.559410838</x:v>
      </x:c>
      <x:c r="D11" s="21" t="n">
        <x:v>11714135.559410838</x:v>
      </x:c>
      <x:c r="E11" s="21" t="n">
        <x:v>18228.330940469332</x:v>
      </x:c>
      <x:c r="F11" s="22" t="n">
        <x:f>D11*'Inputs'!$B$41+E11*'Inputs'!$B$42</x:f>
        <x:v>1262555.2106434307</x:v>
      </x:c>
      <x:c r="G11" s="23" t="n">
        <x:f>IF(B11&gt;0,C11/B11,"undefined")</x:f>
        <x:v>1.426378759136784</x:v>
      </x:c>
      <x:c r="H11" s="24" t="n">
        <x:v>1</x:v>
      </x:c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5" customHeight="1">
      <x:c r="A12" s="20" t="n">
        <x:v>0.3</x:v>
      </x:c>
      <x:c r="B12" s="21" t="n">
        <x:v>9855000</x:v>
      </x:c>
      <x:c r="C12" s="21" t="n">
        <x:v>13882635.603388313</x:v>
      </x:c>
      <x:c r="D12" s="21" t="n">
        <x:v>13882635.603388313</x:v>
      </x:c>
      <x:c r="E12" s="21" t="n">
        <x:v>21632.368828593797</x:v>
      </x:c>
      <x:c r="F12" s="22" t="n">
        <x:f>D12*'Inputs'!$B$41+E12*'Inputs'!$B$42</x:f>
        <x:v>1496425.4044818005</x:v>
      </x:c>
      <x:c r="G12" s="23" t="n">
        <x:f>IF(B12&gt;0,C12/B12,"undefined")</x:f>
        <x:v>1.4086895589435122</x:v>
      </x:c>
      <x:c r="H12" s="24" t="n">
        <x:v>1</x:v>
      </x:c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5" customHeight="1">
      <x:c r="A13" s="20" t="n">
        <x:v>0.35</x:v>
      </x:c>
      <x:c r="B13" s="21" t="n">
        <x:v>11497500</x:v>
      </x:c>
      <x:c r="C13" s="21" t="n">
        <x:v>16051135.647365788</x:v>
      </x:c>
      <x:c r="D13" s="21" t="n">
        <x:v>16051135.647365788</x:v>
      </x:c>
      <x:c r="E13" s="21" t="n">
        <x:v>25036.406716718262</x:v>
      </x:c>
      <x:c r="F13" s="22" t="n">
        <x:f>D13*'Inputs'!$B$41+E13*'Inputs'!$B$42</x:f>
        <x:v>1730295.59832017</x:v>
      </x:c>
      <x:c r="G13" s="23" t="n">
        <x:f>IF(B13&gt;0,C13/B13,"undefined")</x:f>
        <x:v>1.3960544159483181</x:v>
      </x:c>
      <x:c r="H13" s="24" t="n">
        <x:v>1</x:v>
      </x:c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5" customHeight="1">
      <x:c r="A14" s="20" t="n">
        <x:v>0.4</x:v>
      </x:c>
      <x:c r="B14" s="21" t="n">
        <x:v>13140000</x:v>
      </x:c>
      <x:c r="C14" s="21" t="n">
        <x:v>18219635.691343263</x:v>
      </x:c>
      <x:c r="D14" s="21" t="n">
        <x:v>18219635.691343263</x:v>
      </x:c>
      <x:c r="E14" s="21" t="n">
        <x:v>28440.444604842727</x:v>
      </x:c>
      <x:c r="F14" s="22" t="n">
        <x:f>D14*'Inputs'!$B$41+E14*'Inputs'!$B$42</x:f>
        <x:v>1964165.79215854</x:v>
      </x:c>
      <x:c r="G14" s="23" t="n">
        <x:f>IF(B14&gt;0,C14/B14,"undefined")</x:f>
        <x:v>1.3865780587019225</x:v>
      </x:c>
      <x:c r="H14" s="24" t="n">
        <x:v>1</x:v>
      </x:c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5" customHeight="1">
      <x:c r="A15" s="20" t="n">
        <x:v>0.45</x:v>
      </x:c>
      <x:c r="B15" s="21" t="n">
        <x:v>14782500</x:v>
      </x:c>
      <x:c r="C15" s="21" t="n">
        <x:v>20388135.73532074</x:v>
      </x:c>
      <x:c r="D15" s="21" t="n">
        <x:v>20388135.73532074</x:v>
      </x:c>
      <x:c r="E15" s="21" t="n">
        <x:v>31844.482492967196</x:v>
      </x:c>
      <x:c r="F15" s="22" t="n">
        <x:f>D15*'Inputs'!$B$41+E15*'Inputs'!$B$42</x:f>
        <x:v>2198035.98599691</x:v>
      </x:c>
      <x:c r="G15" s="23" t="n">
        <x:f>IF(B15&gt;0,C15/B15,"undefined")</x:f>
        <x:v>1.3792075586213928</x:v>
      </x:c>
      <x:c r="H15" s="24" t="n">
        <x:v>1</x:v>
      </x:c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5" customHeight="1">
      <x:c r="A16" s="20" t="n">
        <x:v>0.5</x:v>
      </x:c>
      <x:c r="B16" s="21" t="n">
        <x:v>16425000</x:v>
      </x:c>
      <x:c r="C16" s="21" t="n">
        <x:v>22556635.779298212</x:v>
      </x:c>
      <x:c r="D16" s="21" t="n">
        <x:v>22556635.779298212</x:v>
      </x:c>
      <x:c r="E16" s="21" t="n">
        <x:v>35248.520381091665</x:v>
      </x:c>
      <x:c r="F16" s="22" t="n">
        <x:f>D16*'Inputs'!$B$41+E16*'Inputs'!$B$42</x:f>
        <x:v>2431906.1798352795</x:v>
      </x:c>
      <x:c r="G16" s="23" t="n">
        <x:f>IF(B16&gt;0,C16/B16,"undefined")</x:f>
        <x:v>1.3733111585569688</x:v>
      </x:c>
      <x:c r="H16" s="24" t="n">
        <x:v>1</x:v>
      </x:c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5" customHeight="1">
      <x:c r="A17" s="20" t="n">
        <x:v>0.55</x:v>
      </x:c>
      <x:c r="B17" s="21" t="n">
        <x:v>18067500</x:v>
      </x:c>
      <x:c r="C17" s="21" t="n">
        <x:v>24725135.82327569</x:v>
      </x:c>
      <x:c r="D17" s="21" t="n">
        <x:v>24725135.82327569</x:v>
      </x:c>
      <x:c r="E17" s="21" t="n">
        <x:v>38652.55826921613</x:v>
      </x:c>
      <x:c r="F17" s="22" t="n">
        <x:f>D17*'Inputs'!$B$41+E17*'Inputs'!$B$42</x:f>
        <x:v>2665776.3736736495</x:v>
      </x:c>
      <x:c r="G17" s="23" t="n">
        <x:f>IF(B17&gt;0,C17/B17,"undefined")</x:f>
        <x:v>1.3684868312315313</x:v>
      </x:c>
      <x:c r="H17" s="24" t="n">
        <x:v>1</x:v>
      </x:c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5" customHeight="1">
      <x:c r="A18" s="20" t="n">
        <x:v>0.6</x:v>
      </x:c>
      <x:c r="B18" s="21" t="n">
        <x:v>19710000</x:v>
      </x:c>
      <x:c r="C18" s="21" t="n">
        <x:v>26893635.867253166</x:v>
      </x:c>
      <x:c r="D18" s="21" t="n">
        <x:v>26893635.867253166</x:v>
      </x:c>
      <x:c r="E18" s="21" t="n">
        <x:v>42056.596157340595</x:v>
      </x:c>
      <x:c r="F18" s="22" t="n">
        <x:f>D18*'Inputs'!$B$41+E18*'Inputs'!$B$42</x:f>
        <x:v>2899646.56751202</x:v>
      </x:c>
      <x:c r="G18" s="23" t="n">
        <x:f>IF(B18&gt;0,C18/B18,"undefined")</x:f>
        <x:v>1.364466558460333</x:v>
      </x:c>
      <x:c r="H18" s="24" t="n">
        <x:v>1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5" customHeight="1">
      <x:c r="A19" s="20" t="n">
        <x:v>0.65</x:v>
      </x:c>
      <x:c r="B19" s="21" t="n">
        <x:v>21352500</x:v>
      </x:c>
      <x:c r="C19" s="21" t="n">
        <x:v>29062135.91123064</x:v>
      </x:c>
      <x:c r="D19" s="21" t="n">
        <x:v>29062135.91123064</x:v>
      </x:c>
      <x:c r="E19" s="21" t="n">
        <x:v>45460.63404546506</x:v>
      </x:c>
      <x:c r="F19" s="22" t="n">
        <x:f>D19*'Inputs'!$B$41+E19*'Inputs'!$B$42</x:f>
        <x:v>3133516.7613503896</x:v>
      </x:c>
      <x:c r="G19" s="23" t="n">
        <x:f>IF(B19&gt;0,C19/B19,"undefined")</x:f>
        <x:v>1.3610647891923962</x:v>
      </x:c>
      <x:c r="H19" s="24" t="n">
        <x:v>1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5" customHeight="1">
      <x:c r="A20" s="20" t="n">
        <x:v>0.7</x:v>
      </x:c>
      <x:c r="B20" s="21" t="n">
        <x:v>22995000</x:v>
      </x:c>
      <x:c r="C20" s="21" t="n">
        <x:v>31230635.955208115</x:v>
      </x:c>
      <x:c r="D20" s="21" t="n">
        <x:v>31230635.955208115</x:v>
      </x:c>
      <x:c r="E20" s="21" t="n">
        <x:v>48864.671933589525</x:v>
      </x:c>
      <x:c r="F20" s="22" t="n">
        <x:f>D20*'Inputs'!$B$41+E20*'Inputs'!$B$42</x:f>
        <x:v>3367386.955188759</x:v>
      </x:c>
      <x:c r="G20" s="23" t="n">
        <x:f>IF(B20&gt;0,C20/B20,"undefined")</x:f>
        <x:v>1.3581489869627361</x:v>
      </x:c>
      <x:c r="H20" s="24" t="n">
        <x:v>1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5" customHeight="1">
      <x:c r="A21" s="20" t="n">
        <x:v>0.75</x:v>
      </x:c>
      <x:c r="B21" s="21" t="n">
        <x:v>24637500</x:v>
      </x:c>
      <x:c r="C21" s="21" t="n">
        <x:v>33399135.999185592</x:v>
      </x:c>
      <x:c r="D21" s="21" t="n">
        <x:v>33399135.999185592</x:v>
      </x:c>
      <x:c r="E21" s="21" t="n">
        <x:v>52268.709821714</x:v>
      </x:c>
      <x:c r="F21" s="22" t="n">
        <x:f>D21*'Inputs'!$B$41+E21*'Inputs'!$B$42</x:f>
        <x:v>3601257.149027129</x:v>
      </x:c>
      <x:c r="G21" s="23" t="n">
        <x:f>IF(B21&gt;0,C21/B21,"undefined")</x:f>
        <x:v>1.3556219583636973</x:v>
      </x:c>
      <x:c r="H21" s="24" t="n">
        <x:v>1</x:v>
      </x:c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5" customHeight="1">
      <x:c r="A22" s="20" t="n">
        <x:v>0.8</x:v>
      </x:c>
      <x:c r="B22" s="21" t="n">
        <x:v>26280000</x:v>
      </x:c>
      <x:c r="C22" s="21" t="n">
        <x:v>35567636.04316307</x:v>
      </x:c>
      <x:c r="D22" s="21" t="n">
        <x:v>35567636.04316307</x:v>
      </x:c>
      <x:c r="E22" s="21" t="n">
        <x:v>55672.74770983846</x:v>
      </x:c>
      <x:c r="F22" s="22" t="n">
        <x:f>D22*'Inputs'!$B$41+E22*'Inputs'!$B$42</x:f>
        <x:v>3835127.3428654997</x:v>
      </x:c>
      <x:c r="G22" s="23" t="n">
        <x:f>IF(B22&gt;0,C22/B22,"undefined")</x:f>
        <x:v>1.3534108083395384</x:v>
      </x:c>
      <x:c r="H22" s="24" t="n">
        <x:v>1</x:v>
      </x:c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5" customHeight="1">
      <x:c r="A23" s="20" t="n">
        <x:v>0.85</x:v>
      </x:c>
      <x:c r="B23" s="21" t="n">
        <x:v>27922500</x:v>
      </x:c>
      <x:c r="C23" s="21" t="n">
        <x:v>37736136.08714054</x:v>
      </x:c>
      <x:c r="D23" s="21" t="n">
        <x:v>37736136.08714054</x:v>
      </x:c>
      <x:c r="E23" s="21" t="n">
        <x:v>59076.785597962924</x:v>
      </x:c>
      <x:c r="F23" s="22" t="n">
        <x:f>D23*'Inputs'!$B$41+E23*'Inputs'!$B$42</x:f>
        <x:v>4068997.5367038683</x:v>
      </x:c>
      <x:c r="G23" s="23" t="n">
        <x:f>IF(B23&gt;0,C23/B23,"undefined")</x:f>
        <x:v>1.3514597936123391</x:v>
      </x:c>
      <x:c r="H23" s="24" t="n">
        <x:v>1</x:v>
      </x:c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5" customHeight="1">
      <x:c r="A24" s="20" t="n">
        <x:v>0.9</x:v>
      </x:c>
      <x:c r="B24" s="21" t="n">
        <x:v>29565000</x:v>
      </x:c>
      <x:c r="C24" s="21" t="n">
        <x:v>39904636.131118014</x:v>
      </x:c>
      <x:c r="D24" s="21" t="n">
        <x:v>39904636.131118014</x:v>
      </x:c>
      <x:c r="E24" s="21" t="n">
        <x:v>62480.82348608739</x:v>
      </x:c>
      <x:c r="F24" s="22" t="n">
        <x:f>D24*'Inputs'!$B$41+E24*'Inputs'!$B$42</x:f>
        <x:v>4302867.730542239</x:v>
      </x:c>
      <x:c r="G24" s="23" t="n">
        <x:f>IF(B24&gt;0,C24/B24,"undefined")</x:f>
        <x:v>1.3497255582992733</x:v>
      </x:c>
      <x:c r="H24" s="24" t="n">
        <x:v>1</x:v>
      </x:c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5" customHeight="1">
      <x:c r="A25" s="20" t="n">
        <x:v>0.95</x:v>
      </x:c>
      <x:c r="B25" s="21" t="n">
        <x:v>31207500</x:v>
      </x:c>
      <x:c r="C25" s="21" t="n">
        <x:v>42073136.17509549</x:v>
      </x:c>
      <x:c r="D25" s="21" t="n">
        <x:v>42073136.17509549</x:v>
      </x:c>
      <x:c r="E25" s="21" t="n">
        <x:v>65884.86137421186</x:v>
      </x:c>
      <x:c r="F25" s="22" t="n">
        <x:f>D25*'Inputs'!$B$41+E25*'Inputs'!$B$42</x:f>
        <x:v>4536737.924380609</x:v>
      </x:c>
      <x:c r="G25" s="23" t="n">
        <x:f>IF(B25&gt;0,C25/B25,"undefined")</x:f>
        <x:v>1.3481738740717935</x:v>
      </x:c>
      <x:c r="H25" s="24" t="n">
        <x:v>1</x:v>
      </x:c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5" customHeight="1">
      <x:c r="A26" s="20" t="n">
        <x:v>1</x:v>
      </x:c>
      <x:c r="B26" s="21" t="n">
        <x:v>32850000</x:v>
      </x:c>
      <x:c r="C26" s="21" t="n">
        <x:v>44241636.21907297</x:v>
      </x:c>
      <x:c r="D26" s="21" t="n">
        <x:v>44241636.21907297</x:v>
      </x:c>
      <x:c r="E26" s="21" t="n">
        <x:v>69288.89926233633</x:v>
      </x:c>
      <x:c r="F26" s="22" t="n">
        <x:f>D26*'Inputs'!$B$41+E26*'Inputs'!$B$42</x:f>
        <x:v>4770608.118218978</x:v>
      </x:c>
      <x:c r="G26" s="23" t="n">
        <x:f>IF(B26&gt;0,C26/B26,"undefined")</x:f>
        <x:v>1.3467773582670615</x:v>
      </x:c>
      <x:c r="H26" s="24" t="n">
        <x:v>1</x:v>
      </x:c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5" t="str">
        <x:v>Values in A:E are imported scenario results, not Excel physical equations. Financial occupancy must match a listed 5% step. Zero IT makes PUE undefined. Sum of monthly peaks supports 12 demand charges, not one annual peak.</x:v>
      </x:c>
      <x:c r="B28" s="5"/>
      <x:c r="C28" s="5"/>
      <x:c r="D28" s="5"/>
      <x:c r="E28" s="5"/>
      <x:c r="F28" s="5"/>
      <x:c r="G28" s="5"/>
      <x:c r="H28" s="5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5"/>
      <x:c r="B29" s="5"/>
      <x:c r="C29" s="5"/>
      <x:c r="D29" s="5"/>
      <x:c r="E29" s="5"/>
      <x:c r="F29" s="5"/>
      <x:c r="G29" s="5"/>
      <x:c r="H29" s="5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H2"/>
    <x:mergeCell ref="A3:H3"/>
    <x:mergeCell ref="A28:H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3" t="str">
        <x:v>CASH FLOW / PRE-TAX AND UNLEVERED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/>
      <x:c r="B2" s="3"/>
      <x:c r="C2" s="3"/>
      <x:c r="D2" s="3"/>
      <x:c r="E2" s="3"/>
      <x:c r="F2" s="3"/>
      <x:c r="G2" s="3"/>
      <x:c r="H2" s="3"/>
      <x:c r="I2" s="1"/>
      <x:c r="J2" s="1"/>
      <x:c r="K2" s="1"/>
      <x:c r="L2" s="1"/>
      <x:c r="M2" s="1"/>
      <x:c r="N2" s="1"/>
      <x:c r="O2" s="1"/>
      <x:c r="P2" s="1"/>
      <x:c r="Q2" s="1"/>
    </x:row>
    <x:row r="3" ht="32" customHeight="1">
      <x:c r="A3" s="5" t="str">
        <x:v>15 years / nominal USD. Year-zero capital; year-end operations. Blue occupancy must match Energy. No tax, debt, working capital or construction financing.</x:v>
      </x:c>
      <x:c r="B3" s="5"/>
      <x:c r="C3" s="5"/>
      <x:c r="D3" s="5"/>
      <x:c r="E3" s="5"/>
      <x:c r="F3" s="5"/>
      <x:c r="G3" s="5"/>
      <x:c r="H3" s="5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5" customHeight="1">
      <x:c r="A5" s="25" t="str">
        <x:v>Operating year</x:v>
      </x:c>
      <x:c r="B5" s="25" t="n">
        <x:v>1</x:v>
      </x:c>
      <x:c r="C5" s="25" t="n">
        <x:v>2</x:v>
      </x:c>
      <x:c r="D5" s="25" t="n">
        <x:v>3</x:v>
      </x:c>
      <x:c r="E5" s="25" t="n">
        <x:v>4</x:v>
      </x:c>
      <x:c r="F5" s="25" t="n">
        <x:v>5</x:v>
      </x:c>
      <x:c r="G5" s="25" t="n">
        <x:v>6</x:v>
      </x:c>
      <x:c r="H5" s="25" t="n">
        <x:v>7</x:v>
      </x:c>
      <x:c r="I5" s="25" t="n">
        <x:v>8</x:v>
      </x:c>
      <x:c r="J5" s="25" t="n">
        <x:v>9</x:v>
      </x:c>
      <x:c r="K5" s="25" t="n">
        <x:v>10</x:v>
      </x:c>
      <x:c r="L5" s="25" t="n">
        <x:v>11</x:v>
      </x:c>
      <x:c r="M5" s="25" t="n">
        <x:v>12</x:v>
      </x:c>
      <x:c r="N5" s="25" t="n">
        <x:v>13</x:v>
      </x:c>
      <x:c r="O5" s="25" t="n">
        <x:v>14</x:v>
      </x:c>
      <x:c r="P5" s="25" t="n">
        <x:v>15</x:v>
      </x:c>
      <x:c r="Q5" s="1"/>
    </x:row>
    <x:row r="6" ht="25" customHeight="1">
      <x:c r="A6" s="1" t="str">
        <x:v>Occupancy (editable)</x:v>
      </x:c>
      <x:c r="B6" s="26" t="n">
        <x:v>0.35</x:v>
      </x:c>
      <x:c r="C6" s="26" t="n">
        <x:v>0.5</x:v>
      </x:c>
      <x:c r="D6" s="26" t="n">
        <x:v>0.65</x:v>
      </x:c>
      <x:c r="E6" s="26" t="n">
        <x:v>0.8</x:v>
      </x:c>
      <x:c r="F6" s="26" t="n">
        <x:v>0.9</x:v>
      </x:c>
      <x:c r="G6" s="26" t="n">
        <x:v>0.95</x:v>
      </x:c>
      <x:c r="H6" s="26" t="n">
        <x:v>0.95</x:v>
      </x:c>
      <x:c r="I6" s="26" t="n">
        <x:v>0.95</x:v>
      </x:c>
      <x:c r="J6" s="26" t="n">
        <x:v>0.95</x:v>
      </x:c>
      <x:c r="K6" s="26" t="n">
        <x:v>0.95</x:v>
      </x:c>
      <x:c r="L6" s="26" t="n">
        <x:v>0.95</x:v>
      </x:c>
      <x:c r="M6" s="26" t="n">
        <x:v>0.95</x:v>
      </x:c>
      <x:c r="N6" s="26" t="n">
        <x:v>0.95</x:v>
      </x:c>
      <x:c r="O6" s="26" t="n">
        <x:v>0.95</x:v>
      </x:c>
      <x:c r="P6" s="26" t="n">
        <x:v>0.95</x:v>
      </x:c>
      <x:c r="Q6" s="1"/>
    </x:row>
    <x:row r="7" ht="25" customHeight="1">
      <x:c r="A7" s="1" t="str">
        <x:v>Escalation factor</x:v>
      </x:c>
      <x:c r="B7" s="27" t="n">
        <x:f>(1+'Inputs'!$B$59)^(B5-1)</x:f>
        <x:v>1</x:v>
      </x:c>
      <x:c r="C7" s="27" t="n">
        <x:f>(1+'Inputs'!$B$59)^(C5-1)</x:f>
        <x:v>1.02</x:v>
      </x:c>
      <x:c r="D7" s="27" t="n">
        <x:f>(1+'Inputs'!$B$59)^(D5-1)</x:f>
        <x:v>1.0404</x:v>
      </x:c>
      <x:c r="E7" s="27" t="n">
        <x:f>(1+'Inputs'!$B$59)^(E5-1)</x:f>
        <x:v>1.0612080000000002</x:v>
      </x:c>
      <x:c r="F7" s="27" t="n">
        <x:f>(1+'Inputs'!$B$59)^(F5-1)</x:f>
        <x:v>1.08243216</x:v>
      </x:c>
      <x:c r="G7" s="27" t="n">
        <x:f>(1+'Inputs'!$B$59)^(G5-1)</x:f>
        <x:v>1.1040808032</x:v>
      </x:c>
      <x:c r="H7" s="27" t="n">
        <x:f>(1+'Inputs'!$B$59)^(H5-1)</x:f>
        <x:v>1.126162419264</x:v>
      </x:c>
      <x:c r="I7" s="27" t="n">
        <x:f>(1+'Inputs'!$B$59)^(I5-1)</x:f>
        <x:v>1.14868566764928</x:v>
      </x:c>
      <x:c r="J7" s="27" t="n">
        <x:f>(1+'Inputs'!$B$59)^(J5-1)</x:f>
        <x:v>1.1716593810022657</x:v>
      </x:c>
      <x:c r="K7" s="27" t="n">
        <x:f>(1+'Inputs'!$B$59)^(K5-1)</x:f>
        <x:v>1.195092568622311</x:v>
      </x:c>
      <x:c r="L7" s="27" t="n">
        <x:f>(1+'Inputs'!$B$59)^(L5-1)</x:f>
        <x:v>1.2189944199947573</x:v>
      </x:c>
      <x:c r="M7" s="27" t="n">
        <x:f>(1+'Inputs'!$B$59)^(M5-1)</x:f>
        <x:v>1.2433743083946525</x:v>
      </x:c>
      <x:c r="N7" s="27" t="n">
        <x:f>(1+'Inputs'!$B$59)^(N5-1)</x:f>
        <x:v>1.2682417945625455</x:v>
      </x:c>
      <x:c r="O7" s="27" t="n">
        <x:f>(1+'Inputs'!$B$59)^(O5-1)</x:f>
        <x:v>1.2936066304537965</x:v>
      </x:c>
      <x:c r="P7" s="27" t="n">
        <x:f>(1+'Inputs'!$B$59)^(P5-1)</x:f>
        <x:v>1.3194787630628724</x:v>
      </x:c>
      <x:c r="Q7" s="1"/>
    </x:row>
    <x:row r="8" ht="2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5" customHeight="1">
      <x:c r="A9" s="1" t="str">
        <x:v>Capacity revenue</x:v>
      </x:c>
      <x:c r="B9" s="22" t="n">
        <x:f>'Inputs'!$B$6*B6*'Inputs'!$B$56*12*B7</x:f>
        <x:v>3780000</x:v>
      </x:c>
      <x:c r="C9" s="22" t="n">
        <x:f>'Inputs'!$B$6*C6*'Inputs'!$B$56*12*C7</x:f>
        <x:v>5508000</x:v>
      </x:c>
      <x:c r="D9" s="22" t="n">
        <x:f>'Inputs'!$B$6*D6*'Inputs'!$B$56*12*D7</x:f>
        <x:v>7303608</x:v>
      </x:c>
      <x:c r="E9" s="22" t="n">
        <x:f>'Inputs'!$B$6*E6*'Inputs'!$B$56*12*E7</x:f>
        <x:v>9168837.120000001</x:v>
      </x:c>
      <x:c r="F9" s="22" t="n">
        <x:f>'Inputs'!$B$6*F6*'Inputs'!$B$56*12*F7</x:f>
        <x:v>10521240.5952</x:v>
      </x:c>
      <x:c r="G9" s="22" t="n">
        <x:f>'Inputs'!$B$6*G6*'Inputs'!$B$56*12*G7</x:f>
        <x:v>11327869.040832</x:v>
      </x:c>
      <x:c r="H9" s="22" t="n">
        <x:f>'Inputs'!$B$6*H6*'Inputs'!$B$56*12*H7</x:f>
        <x:v>11554426.42164864</x:v>
      </x:c>
      <x:c r="I9" s="22" t="n">
        <x:f>'Inputs'!$B$6*I6*'Inputs'!$B$56*12*I7</x:f>
        <x:v>11785514.950081613</x:v>
      </x:c>
      <x:c r="J9" s="22" t="n">
        <x:f>'Inputs'!$B$6*J6*'Inputs'!$B$56*12*J7</x:f>
        <x:v>12021225.249083247</x:v>
      </x:c>
      <x:c r="K9" s="22" t="n">
        <x:f>'Inputs'!$B$6*K6*'Inputs'!$B$56*12*K7</x:f>
        <x:v>12261649.754064912</x:v>
      </x:c>
      <x:c r="L9" s="22" t="n">
        <x:f>'Inputs'!$B$6*L6*'Inputs'!$B$56*12*L7</x:f>
        <x:v>12506882.74914621</x:v>
      </x:c>
      <x:c r="M9" s="22" t="n">
        <x:f>'Inputs'!$B$6*M6*'Inputs'!$B$56*12*M7</x:f>
        <x:v>12757020.404129134</x:v>
      </x:c>
      <x:c r="N9" s="22" t="n">
        <x:f>'Inputs'!$B$6*N6*'Inputs'!$B$56*12*N7</x:f>
        <x:v>13012160.812211717</x:v>
      </x:c>
      <x:c r="O9" s="22" t="n">
        <x:f>'Inputs'!$B$6*O6*'Inputs'!$B$56*12*O7</x:f>
        <x:v>13272404.028455952</x:v>
      </x:c>
      <x:c r="P9" s="22" t="n">
        <x:f>'Inputs'!$B$6*P6*'Inputs'!$B$56*12*P7</x:f>
        <x:v>13537852.10902507</x:v>
      </x:c>
      <x:c r="Q9" s="1"/>
    </x:row>
    <x:row r="10" ht="25" customHeight="1">
      <x:c r="A10" s="1" t="str">
        <x:v>Energy reimbursement</x:v>
      </x:c>
      <x:c r="B10" s="22" t="n">
        <x:f>B13*'Inputs'!$B$57</x:f>
        <x:v>1730295.59832017</x:v>
      </x:c>
      <x:c r="C10" s="22" t="n">
        <x:f>C13*'Inputs'!$B$57</x:f>
        <x:v>2480544.303431985</x:v>
      </x:c>
      <x:c r="D10" s="22" t="n">
        <x:f>D13*'Inputs'!$B$57</x:f>
        <x:v>3260110.8385089454</x:v>
      </x:c>
      <x:c r="E10" s="22" t="n">
        <x:f>E13*'Inputs'!$B$57</x:f>
        <x:v>4069867.8172676116</x:v>
      </x:c>
      <x:c r="F10" s="22" t="n">
        <x:f>F13*'Inputs'!$B$57</x:f>
        <x:v>4657562.411765133</x:v>
      </x:c>
      <x:c r="G10" s="22" t="n">
        <x:f>G13*'Inputs'!$B$57</x:f>
        <x:v>5008925.251458043</x:v>
      </x:c>
      <x:c r="H10" s="22" t="n">
        <x:f>H13*'Inputs'!$B$57</x:f>
        <x:v>5109103.756487205</x:v>
      </x:c>
      <x:c r="I10" s="22" t="n">
        <x:f>I13*'Inputs'!$B$57</x:f>
        <x:v>5211285.831616948</x:v>
      </x:c>
      <x:c r="J10" s="22" t="n">
        <x:f>J13*'Inputs'!$B$57</x:f>
        <x:v>5315511.548249288</x:v>
      </x:c>
      <x:c r="K10" s="22" t="n">
        <x:f>K13*'Inputs'!$B$57</x:f>
        <x:v>5421821.779214274</x:v>
      </x:c>
      <x:c r="L10" s="22" t="n">
        <x:f>L13*'Inputs'!$B$57</x:f>
        <x:v>5530258.214798559</x:v>
      </x:c>
      <x:c r="M10" s="22" t="n">
        <x:f>M13*'Inputs'!$B$57</x:f>
        <x:v>5640863.379094531</x:v>
      </x:c>
      <x:c r="N10" s="22" t="n">
        <x:f>N13*'Inputs'!$B$57</x:f>
        <x:v>5753680.646676421</x:v>
      </x:c>
      <x:c r="O10" s="22" t="n">
        <x:f>O13*'Inputs'!$B$57</x:f>
        <x:v>5868754.25960995</x:v>
      </x:c>
      <x:c r="P10" s="22" t="n">
        <x:f>P13*'Inputs'!$B$57</x:f>
        <x:v>5986129.344802149</x:v>
      </x:c>
      <x:c r="Q10" s="1"/>
    </x:row>
    <x:row r="11" ht="25" customHeight="1">
      <x:c r="A11" s="33" t="str">
        <x:v>Total revenue</x:v>
      </x:c>
      <x:c r="B11" s="34" t="n">
        <x:f>SUM(B9:B10)</x:f>
        <x:v>5510295.59832017</x:v>
      </x:c>
      <x:c r="C11" s="34" t="n">
        <x:f>SUM(C9:C10)</x:f>
        <x:v>7988544.303431985</x:v>
      </x:c>
      <x:c r="D11" s="34" t="n">
        <x:f>SUM(D9:D10)</x:f>
        <x:v>10563718.838508945</x:v>
      </x:c>
      <x:c r="E11" s="34" t="n">
        <x:f>SUM(E9:E10)</x:f>
        <x:v>13238704.937267613</x:v>
      </x:c>
      <x:c r="F11" s="34" t="n">
        <x:f>SUM(F9:F10)</x:f>
        <x:v>15178803.006965134</x:v>
      </x:c>
      <x:c r="G11" s="34" t="n">
        <x:f>SUM(G9:G10)</x:f>
        <x:v>16336794.292290043</x:v>
      </x:c>
      <x:c r="H11" s="34" t="n">
        <x:f>SUM(H9:H10)</x:f>
        <x:v>16663530.178135846</x:v>
      </x:c>
      <x:c r="I11" s="34" t="n">
        <x:f>SUM(I9:I10)</x:f>
        <x:v>16996800.781698562</x:v>
      </x:c>
      <x:c r="J11" s="34" t="n">
        <x:f>SUM(J9:J10)</x:f>
        <x:v>17336736.797332536</x:v>
      </x:c>
      <x:c r="K11" s="34" t="n">
        <x:f>SUM(K9:K10)</x:f>
        <x:v>17683471.533279188</x:v>
      </x:c>
      <x:c r="L11" s="34" t="n">
        <x:f>SUM(L9:L10)</x:f>
        <x:v>18037140.96394477</x:v>
      </x:c>
      <x:c r="M11" s="34" t="n">
        <x:f>SUM(M9:M10)</x:f>
        <x:v>18397883.783223666</x:v>
      </x:c>
      <x:c r="N11" s="34" t="n">
        <x:f>SUM(N9:N10)</x:f>
        <x:v>18765841.458888136</x:v>
      </x:c>
      <x:c r="O11" s="34" t="n">
        <x:f>SUM(O9:O10)</x:f>
        <x:v>19141158.288065903</x:v>
      </x:c>
      <x:c r="P11" s="34" t="n">
        <x:f>SUM(P9:P10)</x:f>
        <x:v>19523981.453827217</x:v>
      </x:c>
      <x:c r="Q11" s="1"/>
    </x:row>
    <x:row r="12" ht="25" customHeight="1">
      <x:c r="A12" s="1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1"/>
    </x:row>
    <x:row r="13" ht="25" customHeight="1">
      <x:c r="A13" s="1" t="str">
        <x:v>Electricity expense</x:v>
      </x:c>
      <x:c r="B13" s="22" t="n">
        <x:f>(B26*'Inputs'!$B$41+B27*'Inputs'!$B$42)*B7</x:f>
        <x:v>1730295.59832017</x:v>
      </x:c>
      <x:c r="C13" s="22" t="n">
        <x:f>(C26*'Inputs'!$B$41+C27*'Inputs'!$B$42)*C7</x:f>
        <x:v>2480544.303431985</x:v>
      </x:c>
      <x:c r="D13" s="22" t="n">
        <x:f>(D26*'Inputs'!$B$41+D27*'Inputs'!$B$42)*D7</x:f>
        <x:v>3260110.8385089454</x:v>
      </x:c>
      <x:c r="E13" s="22" t="n">
        <x:f>(E26*'Inputs'!$B$41+E27*'Inputs'!$B$42)*E7</x:f>
        <x:v>4069867.8172676116</x:v>
      </x:c>
      <x:c r="F13" s="22" t="n">
        <x:f>(F26*'Inputs'!$B$41+F27*'Inputs'!$B$42)*F7</x:f>
        <x:v>4657562.411765133</x:v>
      </x:c>
      <x:c r="G13" s="22" t="n">
        <x:f>(G26*'Inputs'!$B$41+G27*'Inputs'!$B$42)*G7</x:f>
        <x:v>5008925.251458043</x:v>
      </x:c>
      <x:c r="H13" s="22" t="n">
        <x:f>(H26*'Inputs'!$B$41+H27*'Inputs'!$B$42)*H7</x:f>
        <x:v>5109103.756487205</x:v>
      </x:c>
      <x:c r="I13" s="22" t="n">
        <x:f>(I26*'Inputs'!$B$41+I27*'Inputs'!$B$42)*I7</x:f>
        <x:v>5211285.831616948</x:v>
      </x:c>
      <x:c r="J13" s="22" t="n">
        <x:f>(J26*'Inputs'!$B$41+J27*'Inputs'!$B$42)*J7</x:f>
        <x:v>5315511.548249288</x:v>
      </x:c>
      <x:c r="K13" s="22" t="n">
        <x:f>(K26*'Inputs'!$B$41+K27*'Inputs'!$B$42)*K7</x:f>
        <x:v>5421821.779214274</x:v>
      </x:c>
      <x:c r="L13" s="22" t="n">
        <x:f>(L26*'Inputs'!$B$41+L27*'Inputs'!$B$42)*L7</x:f>
        <x:v>5530258.214798559</x:v>
      </x:c>
      <x:c r="M13" s="22" t="n">
        <x:f>(M26*'Inputs'!$B$41+M27*'Inputs'!$B$42)*M7</x:f>
        <x:v>5640863.379094531</x:v>
      </x:c>
      <x:c r="N13" s="22" t="n">
        <x:f>(N26*'Inputs'!$B$41+N27*'Inputs'!$B$42)*N7</x:f>
        <x:v>5753680.646676421</x:v>
      </x:c>
      <x:c r="O13" s="22" t="n">
        <x:f>(O26*'Inputs'!$B$41+O27*'Inputs'!$B$42)*O7</x:f>
        <x:v>5868754.25960995</x:v>
      </x:c>
      <x:c r="P13" s="22" t="n">
        <x:f>(P26*'Inputs'!$B$41+P27*'Inputs'!$B$42)*P7</x:f>
        <x:v>5986129.344802149</x:v>
      </x:c>
      <x:c r="Q13" s="1"/>
    </x:row>
    <x:row r="14" ht="25" customHeight="1">
      <x:c r="A14" s="1" t="str">
        <x:v>Fixed OPEX</x:v>
      </x:c>
      <x:c r="B14" s="22" t="n">
        <x:f>'Inputs'!$B$54*B7</x:f>
        <x:v>1200000</x:v>
      </x:c>
      <x:c r="C14" s="22" t="n">
        <x:f>'Inputs'!$B$54*C7</x:f>
        <x:v>1224000</x:v>
      </x:c>
      <x:c r="D14" s="22" t="n">
        <x:f>'Inputs'!$B$54*D7</x:f>
        <x:v>1248480</x:v>
      </x:c>
      <x:c r="E14" s="22" t="n">
        <x:f>'Inputs'!$B$54*E7</x:f>
        <x:v>1273449.6</x:v>
      </x:c>
      <x:c r="F14" s="22" t="n">
        <x:f>'Inputs'!$B$54*F7</x:f>
        <x:v>1298918.592</x:v>
      </x:c>
      <x:c r="G14" s="22" t="n">
        <x:f>'Inputs'!$B$54*G7</x:f>
        <x:v>1324896.96384</x:v>
      </x:c>
      <x:c r="H14" s="22" t="n">
        <x:f>'Inputs'!$B$54*H7</x:f>
        <x:v>1351394.9031168001</x:v>
      </x:c>
      <x:c r="I14" s="22" t="n">
        <x:f>'Inputs'!$B$54*I7</x:f>
        <x:v>1378422.8011791361</x:v>
      </x:c>
      <x:c r="J14" s="22" t="n">
        <x:f>'Inputs'!$B$54*J7</x:f>
        <x:v>1405991.2572027189</x:v>
      </x:c>
      <x:c r="K14" s="22" t="n">
        <x:f>'Inputs'!$B$54*K7</x:f>
        <x:v>1434111.0823467732</x:v>
      </x:c>
      <x:c r="L14" s="22" t="n">
        <x:f>'Inputs'!$B$54*L7</x:f>
        <x:v>1462793.3039937087</x:v>
      </x:c>
      <x:c r="M14" s="22" t="n">
        <x:f>'Inputs'!$B$54*M7</x:f>
        <x:v>1492049.170073583</x:v>
      </x:c>
      <x:c r="N14" s="22" t="n">
        <x:f>'Inputs'!$B$54*N7</x:f>
        <x:v>1521890.1534750545</x:v>
      </x:c>
      <x:c r="O14" s="22" t="n">
        <x:f>'Inputs'!$B$54*O7</x:f>
        <x:v>1552327.956544556</x:v>
      </x:c>
      <x:c r="P14" s="22" t="n">
        <x:f>'Inputs'!$B$54*P7</x:f>
        <x:v>1583374.515675447</x:v>
      </x:c>
      <x:c r="Q14" s="1"/>
    </x:row>
    <x:row r="15" ht="25" customHeight="1">
      <x:c r="A15" s="1" t="str">
        <x:v>Maintenance</x:v>
      </x:c>
      <x:c r="B15" s="22" t="n">
        <x:f>'Inputs'!$B$52*'Inputs'!$B$55*B7</x:f>
        <x:v>720000</x:v>
      </x:c>
      <x:c r="C15" s="22" t="n">
        <x:f>'Inputs'!$B$52*'Inputs'!$B$55*C7</x:f>
        <x:v>734400</x:v>
      </x:c>
      <x:c r="D15" s="22" t="n">
        <x:f>'Inputs'!$B$52*'Inputs'!$B$55*D7</x:f>
        <x:v>749088</x:v>
      </x:c>
      <x:c r="E15" s="22" t="n">
        <x:f>'Inputs'!$B$52*'Inputs'!$B$55*E7</x:f>
        <x:v>764069.7600000001</x:v>
      </x:c>
      <x:c r="F15" s="22" t="n">
        <x:f>'Inputs'!$B$52*'Inputs'!$B$55*F7</x:f>
        <x:v>779351.1552</x:v>
      </x:c>
      <x:c r="G15" s="22" t="n">
        <x:f>'Inputs'!$B$52*'Inputs'!$B$55*G7</x:f>
        <x:v>794938.1783040001</x:v>
      </x:c>
      <x:c r="H15" s="22" t="n">
        <x:f>'Inputs'!$B$52*'Inputs'!$B$55*H7</x:f>
        <x:v>810836.9418700801</x:v>
      </x:c>
      <x:c r="I15" s="22" t="n">
        <x:f>'Inputs'!$B$52*'Inputs'!$B$55*I7</x:f>
        <x:v>827053.6807074816</x:v>
      </x:c>
      <x:c r="J15" s="22" t="n">
        <x:f>'Inputs'!$B$52*'Inputs'!$B$55*J7</x:f>
        <x:v>843594.7543216313</x:v>
      </x:c>
      <x:c r="K15" s="22" t="n">
        <x:f>'Inputs'!$B$52*'Inputs'!$B$55*K7</x:f>
        <x:v>860466.649408064</x:v>
      </x:c>
      <x:c r="L15" s="22" t="n">
        <x:f>'Inputs'!$B$52*'Inputs'!$B$55*L7</x:f>
        <x:v>877675.9823962253</x:v>
      </x:c>
      <x:c r="M15" s="22" t="n">
        <x:f>'Inputs'!$B$52*'Inputs'!$B$55*M7</x:f>
        <x:v>895229.5020441498</x:v>
      </x:c>
      <x:c r="N15" s="22" t="n">
        <x:f>'Inputs'!$B$52*'Inputs'!$B$55*N7</x:f>
        <x:v>913134.0920850327</x:v>
      </x:c>
      <x:c r="O15" s="22" t="n">
        <x:f>'Inputs'!$B$52*'Inputs'!$B$55*O7</x:f>
        <x:v>931396.7739267335</x:v>
      </x:c>
      <x:c r="P15" s="22" t="n">
        <x:f>'Inputs'!$B$52*'Inputs'!$B$55*P7</x:f>
        <x:v>950024.7094052681</x:v>
      </x:c>
      <x:c r="Q15" s="1"/>
    </x:row>
    <x:row r="16" ht="25" customHeight="1">
      <x:c r="A16" s="33" t="str">
        <x:v>Total operating expense</x:v>
      </x:c>
      <x:c r="B16" s="34" t="n">
        <x:f>SUM(B13:B15)</x:f>
        <x:v>3650295.5983201703</x:v>
      </x:c>
      <x:c r="C16" s="34" t="n">
        <x:f>SUM(C13:C15)</x:f>
        <x:v>4438944.303431985</x:v>
      </x:c>
      <x:c r="D16" s="34" t="n">
        <x:f>SUM(D13:D15)</x:f>
        <x:v>5257678.838508945</x:v>
      </x:c>
      <x:c r="E16" s="34" t="n">
        <x:f>SUM(E13:E15)</x:f>
        <x:v>6107387.177267611</x:v>
      </x:c>
      <x:c r="F16" s="34" t="n">
        <x:f>SUM(F13:F15)</x:f>
        <x:v>6735832.158965133</x:v>
      </x:c>
      <x:c r="G16" s="34" t="n">
        <x:f>SUM(G13:G15)</x:f>
        <x:v>7128760.393602043</x:v>
      </x:c>
      <x:c r="H16" s="34" t="n">
        <x:f>SUM(H13:H15)</x:f>
        <x:v>7271335.601474085</x:v>
      </x:c>
      <x:c r="I16" s="34" t="n">
        <x:f>SUM(I13:I15)</x:f>
        <x:v>7416762.313503566</x:v>
      </x:c>
      <x:c r="J16" s="34" t="n">
        <x:f>SUM(J13:J15)</x:f>
        <x:v>7565097.559773639</x:v>
      </x:c>
      <x:c r="K16" s="34" t="n">
        <x:f>SUM(K13:K15)</x:f>
        <x:v>7716399.510969111</x:v>
      </x:c>
      <x:c r="L16" s="34" t="n">
        <x:f>SUM(L13:L15)</x:f>
        <x:v>7870727.501188493</x:v>
      </x:c>
      <x:c r="M16" s="34" t="n">
        <x:f>SUM(M13:M15)</x:f>
        <x:v>8028142.051212263</x:v>
      </x:c>
      <x:c r="N16" s="34" t="n">
        <x:f>SUM(N13:N15)</x:f>
        <x:v>8188704.892236508</x:v>
      </x:c>
      <x:c r="O16" s="34" t="n">
        <x:f>SUM(O13:O15)</x:f>
        <x:v>8352478.9900812395</x:v>
      </x:c>
      <x:c r="P16" s="34" t="n">
        <x:f>SUM(P13:P15)</x:f>
        <x:v>8519528.569882864</x:v>
      </x:c>
      <x:c r="Q16" s="1"/>
    </x:row>
    <x:row r="17" ht="25" customHeight="1">
      <x:c r="A17" s="1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1"/>
    </x:row>
    <x:row r="18" ht="25" customHeight="1">
      <x:c r="A18" s="33" t="str">
        <x:v>Operating cash flow</x:v>
      </x:c>
      <x:c r="B18" s="34" t="n">
        <x:f>B11-B16</x:f>
        <x:v>1860000</x:v>
      </x:c>
      <x:c r="C18" s="34" t="n">
        <x:f>C11-C16</x:f>
        <x:v>3549600</x:v>
      </x:c>
      <x:c r="D18" s="34" t="n">
        <x:f>D11-D16</x:f>
        <x:v>5306040</x:v>
      </x:c>
      <x:c r="E18" s="34" t="n">
        <x:f>E11-E16</x:f>
        <x:v>7131317.760000002</x:v>
      </x:c>
      <x:c r="F18" s="34" t="n">
        <x:f>F11-F16</x:f>
        <x:v>8442970.848000001</x:v>
      </x:c>
      <x:c r="G18" s="34" t="n">
        <x:f>G11-G16</x:f>
        <x:v>9208033.898688</x:v>
      </x:c>
      <x:c r="H18" s="34" t="n">
        <x:f>H11-H16</x:f>
        <x:v>9392194.576661762</x:v>
      </x:c>
      <x:c r="I18" s="34" t="n">
        <x:f>I11-I16</x:f>
        <x:v>9580038.468194995</x:v>
      </x:c>
      <x:c r="J18" s="34" t="n">
        <x:f>J11-J16</x:f>
        <x:v>9771639.237558898</x:v>
      </x:c>
      <x:c r="K18" s="34" t="n">
        <x:f>K11-K16</x:f>
        <x:v>9967072.022310078</x:v>
      </x:c>
      <x:c r="L18" s="34" t="n">
        <x:f>L11-L16</x:f>
        <x:v>10166413.462756276</x:v>
      </x:c>
      <x:c r="M18" s="34" t="n">
        <x:f>M11-M16</x:f>
        <x:v>10369741.732011404</x:v>
      </x:c>
      <x:c r="N18" s="34" t="n">
        <x:f>N11-N16</x:f>
        <x:v>10577136.566651627</x:v>
      </x:c>
      <x:c r="O18" s="34" t="n">
        <x:f>O11-O16</x:f>
        <x:v>10788679.297984663</x:v>
      </x:c>
      <x:c r="P18" s="34" t="n">
        <x:f>P11-P16</x:f>
        <x:v>11004452.883944353</x:v>
      </x:c>
      <x:c r="Q18" s="1"/>
    </x:row>
    <x:row r="19" ht="25" customHeight="1">
      <x:c r="A19" s="1" t="str">
        <x:v>Replacement capital</x:v>
      </x:c>
      <x:c r="B19" s="22" t="n">
        <x:f>IF(B5='Inputs'!$B$60,'Inputs'!$B$61*B7,0)</x:f>
        <x:v>0</x:v>
      </x:c>
      <x:c r="C19" s="22" t="n">
        <x:f>IF(C5='Inputs'!$B$60,'Inputs'!$B$61*C7,0)</x:f>
        <x:v>0</x:v>
      </x:c>
      <x:c r="D19" s="22" t="n">
        <x:f>IF(D5='Inputs'!$B$60,'Inputs'!$B$61*D7,0)</x:f>
        <x:v>0</x:v>
      </x:c>
      <x:c r="E19" s="22" t="n">
        <x:f>IF(E5='Inputs'!$B$60,'Inputs'!$B$61*E7,0)</x:f>
        <x:v>0</x:v>
      </x:c>
      <x:c r="F19" s="22" t="n">
        <x:f>IF(F5='Inputs'!$B$60,'Inputs'!$B$61*F7,0)</x:f>
        <x:v>0</x:v>
      </x:c>
      <x:c r="G19" s="22" t="n">
        <x:f>IF(G5='Inputs'!$B$60,'Inputs'!$B$61*G7,0)</x:f>
        <x:v>0</x:v>
      </x:c>
      <x:c r="H19" s="22" t="n">
        <x:f>IF(H5='Inputs'!$B$60,'Inputs'!$B$61*H7,0)</x:f>
        <x:v>0</x:v>
      </x:c>
      <x:c r="I19" s="22" t="n">
        <x:f>IF(I5='Inputs'!$B$60,'Inputs'!$B$61*I7,0)</x:f>
        <x:v>3446057.00294784</x:v>
      </x:c>
      <x:c r="J19" s="22" t="n">
        <x:f>IF(J5='Inputs'!$B$60,'Inputs'!$B$61*J7,0)</x:f>
        <x:v>0</x:v>
      </x:c>
      <x:c r="K19" s="22" t="n">
        <x:f>IF(K5='Inputs'!$B$60,'Inputs'!$B$61*K7,0)</x:f>
        <x:v>0</x:v>
      </x:c>
      <x:c r="L19" s="22" t="n">
        <x:f>IF(L5='Inputs'!$B$60,'Inputs'!$B$61*L7,0)</x:f>
        <x:v>0</x:v>
      </x:c>
      <x:c r="M19" s="22" t="n">
        <x:f>IF(M5='Inputs'!$B$60,'Inputs'!$B$61*M7,0)</x:f>
        <x:v>0</x:v>
      </x:c>
      <x:c r="N19" s="22" t="n">
        <x:f>IF(N5='Inputs'!$B$60,'Inputs'!$B$61*N7,0)</x:f>
        <x:v>0</x:v>
      </x:c>
      <x:c r="O19" s="22" t="n">
        <x:f>IF(O5='Inputs'!$B$60,'Inputs'!$B$61*O7,0)</x:f>
        <x:v>0</x:v>
      </x:c>
      <x:c r="P19" s="22" t="n">
        <x:f>IF(P5='Inputs'!$B$60,'Inputs'!$B$61*P7,0)</x:f>
        <x:v>0</x:v>
      </x:c>
      <x:c r="Q19" s="1"/>
    </x:row>
    <x:row r="20" ht="25" customHeight="1">
      <x:c r="A20" s="1" t="str">
        <x:v>Residual asset recovery</x:v>
      </x:c>
      <x:c r="B20" s="22" t="n">
        <x:f>IF(B5=MAX($B$5:$P$5),'Inputs'!$B$52*'Inputs'!$B$62*B7,0)</x:f>
        <x:v>0</x:v>
      </x:c>
      <x:c r="C20" s="22" t="n">
        <x:f>IF(C5=MAX($B$5:$P$5),'Inputs'!$B$52*'Inputs'!$B$62*C7,0)</x:f>
        <x:v>0</x:v>
      </x:c>
      <x:c r="D20" s="22" t="n">
        <x:f>IF(D5=MAX($B$5:$P$5),'Inputs'!$B$52*'Inputs'!$B$62*D7,0)</x:f>
        <x:v>0</x:v>
      </x:c>
      <x:c r="E20" s="22" t="n">
        <x:f>IF(E5=MAX($B$5:$P$5),'Inputs'!$B$52*'Inputs'!$B$62*E7,0)</x:f>
        <x:v>0</x:v>
      </x:c>
      <x:c r="F20" s="22" t="n">
        <x:f>IF(F5=MAX($B$5:$P$5),'Inputs'!$B$52*'Inputs'!$B$62*F7,0)</x:f>
        <x:v>0</x:v>
      </x:c>
      <x:c r="G20" s="22" t="n">
        <x:f>IF(G5=MAX($B$5:$P$5),'Inputs'!$B$52*'Inputs'!$B$62*G7,0)</x:f>
        <x:v>0</x:v>
      </x:c>
      <x:c r="H20" s="22" t="n">
        <x:f>IF(H5=MAX($B$5:$P$5),'Inputs'!$B$52*'Inputs'!$B$62*H7,0)</x:f>
        <x:v>0</x:v>
      </x:c>
      <x:c r="I20" s="22" t="n">
        <x:f>IF(I5=MAX($B$5:$P$5),'Inputs'!$B$52*'Inputs'!$B$62*I7,0)</x:f>
        <x:v>0</x:v>
      </x:c>
      <x:c r="J20" s="22" t="n">
        <x:f>IF(J5=MAX($B$5:$P$5),'Inputs'!$B$52*'Inputs'!$B$62*J7,0)</x:f>
        <x:v>0</x:v>
      </x:c>
      <x:c r="K20" s="22" t="n">
        <x:f>IF(K5=MAX($B$5:$P$5),'Inputs'!$B$52*'Inputs'!$B$62*K7,0)</x:f>
        <x:v>0</x:v>
      </x:c>
      <x:c r="L20" s="22" t="n">
        <x:f>IF(L5=MAX($B$5:$P$5),'Inputs'!$B$52*'Inputs'!$B$62*L7,0)</x:f>
        <x:v>0</x:v>
      </x:c>
      <x:c r="M20" s="22" t="n">
        <x:f>IF(M5=MAX($B$5:$P$5),'Inputs'!$B$52*'Inputs'!$B$62*M7,0)</x:f>
        <x:v>0</x:v>
      </x:c>
      <x:c r="N20" s="22" t="n">
        <x:f>IF(N5=MAX($B$5:$P$5),'Inputs'!$B$52*'Inputs'!$B$62*N7,0)</x:f>
        <x:v>0</x:v>
      </x:c>
      <x:c r="O20" s="22" t="n">
        <x:f>IF(O5=MAX($B$5:$P$5),'Inputs'!$B$52*'Inputs'!$B$62*O7,0)</x:f>
        <x:v>0</x:v>
      </x:c>
      <x:c r="P20" s="22" t="n">
        <x:f>IF(P5=MAX($B$5:$P$5),'Inputs'!$B$52*'Inputs'!$B$62*P7,0)</x:f>
        <x:v>9500247.094052682</x:v>
      </x:c>
      <x:c r="Q20" s="1"/>
    </x:row>
    <x:row r="21" ht="25" customHeight="1">
      <x:c r="A21" s="33" t="str">
        <x:v>Net cash flow</x:v>
      </x:c>
      <x:c r="B21" s="34" t="n">
        <x:f>B18-B19+B20</x:f>
        <x:v>1860000</x:v>
      </x:c>
      <x:c r="C21" s="34" t="n">
        <x:f>C18-C19+C20</x:f>
        <x:v>3549600</x:v>
      </x:c>
      <x:c r="D21" s="34" t="n">
        <x:f>D18-D19+D20</x:f>
        <x:v>5306040</x:v>
      </x:c>
      <x:c r="E21" s="34" t="n">
        <x:f>E18-E19+E20</x:f>
        <x:v>7131317.760000002</x:v>
      </x:c>
      <x:c r="F21" s="34" t="n">
        <x:f>F18-F19+F20</x:f>
        <x:v>8442970.848000001</x:v>
      </x:c>
      <x:c r="G21" s="34" t="n">
        <x:f>G18-G19+G20</x:f>
        <x:v>9208033.898688</x:v>
      </x:c>
      <x:c r="H21" s="34" t="n">
        <x:f>H18-H19+H20</x:f>
        <x:v>9392194.576661762</x:v>
      </x:c>
      <x:c r="I21" s="34" t="n">
        <x:f>I18-I19+I20</x:f>
        <x:v>6133981.465247155</x:v>
      </x:c>
      <x:c r="J21" s="34" t="n">
        <x:f>J18-J19+J20</x:f>
        <x:v>9771639.237558898</x:v>
      </x:c>
      <x:c r="K21" s="34" t="n">
        <x:f>K18-K19+K20</x:f>
        <x:v>9967072.022310078</x:v>
      </x:c>
      <x:c r="L21" s="34" t="n">
        <x:f>L18-L19+L20</x:f>
        <x:v>10166413.462756276</x:v>
      </x:c>
      <x:c r="M21" s="34" t="n">
        <x:f>M18-M19+M20</x:f>
        <x:v>10369741.732011404</x:v>
      </x:c>
      <x:c r="N21" s="34" t="n">
        <x:f>N18-N19+N20</x:f>
        <x:v>10577136.566651627</x:v>
      </x:c>
      <x:c r="O21" s="34" t="n">
        <x:f>O18-O19+O20</x:f>
        <x:v>10788679.297984663</x:v>
      </x:c>
      <x:c r="P21" s="34" t="n">
        <x:f>P18-P19+P20</x:f>
        <x:v>20504699.977997035</x:v>
      </x:c>
      <x:c r="Q21" s="1"/>
    </x:row>
    <x:row r="22" ht="25" customHeight="1">
      <x:c r="A22" s="1" t="str">
        <x:v>Discount factor</x:v>
      </x:c>
      <x:c r="B22" s="27" t="n">
        <x:f>1/(1+'Inputs'!$B$58)^B5</x:f>
        <x:v>0.9090909090909091</x:v>
      </x:c>
      <x:c r="C22" s="27" t="n">
        <x:f>1/(1+'Inputs'!$B$58)^C5</x:f>
        <x:v>0.8264462809917354</x:v>
      </x:c>
      <x:c r="D22" s="27" t="n">
        <x:f>1/(1+'Inputs'!$B$58)^D5</x:f>
        <x:v>0.7513148009015775</x:v>
      </x:c>
      <x:c r="E22" s="27" t="n">
        <x:f>1/(1+'Inputs'!$B$58)^E5</x:f>
        <x:v>0.6830134553650705</x:v>
      </x:c>
      <x:c r="F22" s="27" t="n">
        <x:f>1/(1+'Inputs'!$B$58)^F5</x:f>
        <x:v>0.6209213230591549</x:v>
      </x:c>
      <x:c r="G22" s="27" t="n">
        <x:f>1/(1+'Inputs'!$B$58)^G5</x:f>
        <x:v>0.5644739300537772</x:v>
      </x:c>
      <x:c r="H22" s="27" t="n">
        <x:f>1/(1+'Inputs'!$B$58)^H5</x:f>
        <x:v>0.5131581182307065</x:v>
      </x:c>
      <x:c r="I22" s="27" t="n">
        <x:f>1/(1+'Inputs'!$B$58)^I5</x:f>
        <x:v>0.4665073802097331</x:v>
      </x:c>
      <x:c r="J22" s="27" t="n">
        <x:f>1/(1+'Inputs'!$B$58)^J5</x:f>
        <x:v>0.42409761837248455</x:v>
      </x:c>
      <x:c r="K22" s="27" t="n">
        <x:f>1/(1+'Inputs'!$B$58)^K5</x:f>
        <x:v>0.3855432894295314</x:v>
      </x:c>
      <x:c r="L22" s="27" t="n">
        <x:f>1/(1+'Inputs'!$B$58)^L5</x:f>
        <x:v>0.3504938994813922</x:v>
      </x:c>
      <x:c r="M22" s="27" t="n">
        <x:f>1/(1+'Inputs'!$B$58)^M5</x:f>
        <x:v>0.3186308177103565</x:v>
      </x:c>
      <x:c r="N22" s="27" t="n">
        <x:f>1/(1+'Inputs'!$B$58)^N5</x:f>
        <x:v>0.2896643797366877</x:v>
      </x:c>
      <x:c r="O22" s="27" t="n">
        <x:f>1/(1+'Inputs'!$B$58)^O5</x:f>
        <x:v>0.26333125430607973</x:v>
      </x:c>
      <x:c r="P22" s="27" t="n">
        <x:f>1/(1+'Inputs'!$B$58)^P5</x:f>
        <x:v>0.23939204936916333</x:v>
      </x:c>
      <x:c r="Q22" s="1"/>
    </x:row>
    <x:row r="23" ht="25" customHeight="1">
      <x:c r="A23" s="33" t="str">
        <x:v>PV of cash flow</x:v>
      </x:c>
      <x:c r="B23" s="34" t="n">
        <x:f>B21*B22</x:f>
        <x:v>1690909.0909090908</x:v>
      </x:c>
      <x:c r="C23" s="34" t="n">
        <x:f>C21*C22</x:f>
        <x:v>2933553.719008264</x:v>
      </x:c>
      <x:c r="D23" s="34" t="n">
        <x:f>D21*D22</x:f>
        <x:v>3986506.3861758066</x:v>
      </x:c>
      <x:c r="E23" s="34" t="n">
        <x:f>E21*E22</x:f>
        <x:v>4870785.9845638955</x:v>
      </x:c>
      <x:c r="F23" s="34" t="n">
        <x:f>F21*F22</x:f>
        <x:v>5242420.629490036</x:v>
      </x:c>
      <x:c r="G23" s="34" t="n">
        <x:f>G21*G22</x:f>
        <x:v>5197695.082860819</x:v>
      </x:c>
      <x:c r="H23" s="34" t="n">
        <x:f>H21*H22</x:f>
        <x:v>4819680.895016396</x:v>
      </x:c>
      <x:c r="I23" s="34" t="n">
        <x:f>I21*I22</x:f>
        <x:v>2861547.6236075102</x:v>
      </x:c>
      <x:c r="J23" s="34" t="n">
        <x:f>J21*J22</x:f>
        <x:v>4144128.9282438494</x:v>
      </x:c>
      <x:c r="K23" s="34" t="n">
        <x:f>K21*K22</x:f>
        <x:v>3842737.7334624794</x:v>
      </x:c>
      <x:c r="L23" s="34" t="n">
        <x:f>L21*L22</x:f>
        <x:v>3563265.8983015707</x:v>
      </x:c>
      <x:c r="M23" s="34" t="n">
        <x:f>M21*M22</x:f>
        <x:v>3304119.287516002</x:v>
      </x:c>
      <x:c r="N23" s="34" t="n">
        <x:f>N21*N22</x:f>
        <x:v>3063819.702969382</x:v>
      </x:c>
      <x:c r="O23" s="34" t="n">
        <x:f>O21*O22</x:f>
        <x:v>2840996.451844337</x:v>
      </x:c>
      <x:c r="P23" s="34" t="n">
        <x:f>P21*P22</x:f>
        <x:v>4908662.149432548</x:v>
      </x:c>
      <x:c r="Q23" s="1"/>
    </x:row>
    <x:row r="24" ht="25" customHeight="1">
      <x:c r="A24" s="33" t="str">
        <x:v>Cumulative cash flow</x:v>
      </x:c>
      <x:c r="B24" s="36" t="n">
        <x:f>B21-('Inputs'!$B$52*(1+'Inputs'!$B$53))</x:f>
        <x:v>-55740000</x:v>
      </x:c>
      <x:c r="C24" s="34" t="n">
        <x:f>B24+C21</x:f>
        <x:v>-52190400</x:v>
      </x:c>
      <x:c r="D24" s="34" t="n">
        <x:f>C24+D21</x:f>
        <x:v>-46884360</x:v>
      </x:c>
      <x:c r="E24" s="34" t="n">
        <x:f>D24+E21</x:f>
        <x:v>-39753042.239999995</x:v>
      </x:c>
      <x:c r="F24" s="34" t="n">
        <x:f>E24+F21</x:f>
        <x:v>-31310071.391999993</x:v>
      </x:c>
      <x:c r="G24" s="34" t="n">
        <x:f>F24+G21</x:f>
        <x:v>-22102037.493311994</x:v>
      </x:c>
      <x:c r="H24" s="34" t="n">
        <x:f>G24+H21</x:f>
        <x:v>-12709842.916650232</x:v>
      </x:c>
      <x:c r="I24" s="34" t="n">
        <x:f>H24+I21</x:f>
        <x:v>-6575861.451403077</x:v>
      </x:c>
      <x:c r="J24" s="34" t="n">
        <x:f>I24+J21</x:f>
        <x:v>3195777.786155821</x:v>
      </x:c>
      <x:c r="K24" s="34" t="n">
        <x:f>J24+K21</x:f>
        <x:v>13162849.808465898</x:v>
      </x:c>
      <x:c r="L24" s="34" t="n">
        <x:f>K24+L21</x:f>
        <x:v>23329263.271222174</x:v>
      </x:c>
      <x:c r="M24" s="34" t="n">
        <x:f>L24+M21</x:f>
        <x:v>33699005.00323358</x:v>
      </x:c>
      <x:c r="N24" s="34" t="n">
        <x:f>M24+N21</x:f>
        <x:v>44276141.56988521</x:v>
      </x:c>
      <x:c r="O24" s="34" t="n">
        <x:f>N24+O21</x:f>
        <x:v>55064820.86786987</x:v>
      </x:c>
      <x:c r="P24" s="34" t="n">
        <x:f>O24+P21</x:f>
        <x:v>75569520.8458669</x:v>
      </x:c>
      <x:c r="Q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5" customHeight="1">
      <x:c r="A26" s="1" t="str">
        <x:v>Imported grid kWh</x:v>
      </x:c>
      <x:c r="B26" s="30" t="n">
        <x:f>IFERROR(VLOOKUP(B6,'Energy'!$A$6:$H$26,4,FALSE),0)</x:f>
        <x:v>16051135.647365788</x:v>
      </x:c>
      <x:c r="C26" s="30" t="n">
        <x:f>IFERROR(VLOOKUP(C6,'Energy'!$A$6:$H$26,4,FALSE),0)</x:f>
        <x:v>22556635.779298212</x:v>
      </x:c>
      <x:c r="D26" s="30" t="n">
        <x:f>IFERROR(VLOOKUP(D6,'Energy'!$A$6:$H$26,4,FALSE),0)</x:f>
        <x:v>29062135.91123064</x:v>
      </x:c>
      <x:c r="E26" s="30" t="n">
        <x:f>IFERROR(VLOOKUP(E6,'Energy'!$A$6:$H$26,4,FALSE),0)</x:f>
        <x:v>35567636.04316307</x:v>
      </x:c>
      <x:c r="F26" s="30" t="n">
        <x:f>IFERROR(VLOOKUP(F6,'Energy'!$A$6:$H$26,4,FALSE),0)</x:f>
        <x:v>39904636.131118014</x:v>
      </x:c>
      <x:c r="G26" s="30" t="n">
        <x:f>IFERROR(VLOOKUP(G6,'Energy'!$A$6:$H$26,4,FALSE),0)</x:f>
        <x:v>42073136.17509549</x:v>
      </x:c>
      <x:c r="H26" s="30" t="n">
        <x:f>IFERROR(VLOOKUP(H6,'Energy'!$A$6:$H$26,4,FALSE),0)</x:f>
        <x:v>42073136.17509549</x:v>
      </x:c>
      <x:c r="I26" s="30" t="n">
        <x:f>IFERROR(VLOOKUP(I6,'Energy'!$A$6:$H$26,4,FALSE),0)</x:f>
        <x:v>42073136.17509549</x:v>
      </x:c>
      <x:c r="J26" s="30" t="n">
        <x:f>IFERROR(VLOOKUP(J6,'Energy'!$A$6:$H$26,4,FALSE),0)</x:f>
        <x:v>42073136.17509549</x:v>
      </x:c>
      <x:c r="K26" s="30" t="n">
        <x:f>IFERROR(VLOOKUP(K6,'Energy'!$A$6:$H$26,4,FALSE),0)</x:f>
        <x:v>42073136.17509549</x:v>
      </x:c>
      <x:c r="L26" s="30" t="n">
        <x:f>IFERROR(VLOOKUP(L6,'Energy'!$A$6:$H$26,4,FALSE),0)</x:f>
        <x:v>42073136.17509549</x:v>
      </x:c>
      <x:c r="M26" s="30" t="n">
        <x:f>IFERROR(VLOOKUP(M6,'Energy'!$A$6:$H$26,4,FALSE),0)</x:f>
        <x:v>42073136.17509549</x:v>
      </x:c>
      <x:c r="N26" s="30" t="n">
        <x:f>IFERROR(VLOOKUP(N6,'Energy'!$A$6:$H$26,4,FALSE),0)</x:f>
        <x:v>42073136.17509549</x:v>
      </x:c>
      <x:c r="O26" s="30" t="n">
        <x:f>IFERROR(VLOOKUP(O6,'Energy'!$A$6:$H$26,4,FALSE),0)</x:f>
        <x:v>42073136.17509549</x:v>
      </x:c>
      <x:c r="P26" s="30" t="n">
        <x:f>IFERROR(VLOOKUP(P6,'Energy'!$A$6:$H$26,4,FALSE),0)</x:f>
        <x:v>42073136.17509549</x:v>
      </x:c>
      <x:c r="Q26" s="1"/>
    </x:row>
    <x:row r="27" ht="25" customHeight="1">
      <x:c r="A27" s="1" t="str">
        <x:v>Sum monthly peak kW</x:v>
      </x:c>
      <x:c r="B27" s="30" t="n">
        <x:f>IFERROR(VLOOKUP(B6,'Energy'!$A$6:$H$26,5,FALSE),0)</x:f>
        <x:v>25036.406716718262</x:v>
      </x:c>
      <x:c r="C27" s="30" t="n">
        <x:f>IFERROR(VLOOKUP(C6,'Energy'!$A$6:$H$26,5,FALSE),0)</x:f>
        <x:v>35248.520381091665</x:v>
      </x:c>
      <x:c r="D27" s="30" t="n">
        <x:f>IFERROR(VLOOKUP(D6,'Energy'!$A$6:$H$26,5,FALSE),0)</x:f>
        <x:v>45460.63404546506</x:v>
      </x:c>
      <x:c r="E27" s="30" t="n">
        <x:f>IFERROR(VLOOKUP(E6,'Energy'!$A$6:$H$26,5,FALSE),0)</x:f>
        <x:v>55672.74770983846</x:v>
      </x:c>
      <x:c r="F27" s="30" t="n">
        <x:f>IFERROR(VLOOKUP(F6,'Energy'!$A$6:$H$26,5,FALSE),0)</x:f>
        <x:v>62480.82348608739</x:v>
      </x:c>
      <x:c r="G27" s="30" t="n">
        <x:f>IFERROR(VLOOKUP(G6,'Energy'!$A$6:$H$26,5,FALSE),0)</x:f>
        <x:v>65884.86137421186</x:v>
      </x:c>
      <x:c r="H27" s="30" t="n">
        <x:f>IFERROR(VLOOKUP(H6,'Energy'!$A$6:$H$26,5,FALSE),0)</x:f>
        <x:v>65884.86137421186</x:v>
      </x:c>
      <x:c r="I27" s="30" t="n">
        <x:f>IFERROR(VLOOKUP(I6,'Energy'!$A$6:$H$26,5,FALSE),0)</x:f>
        <x:v>65884.86137421186</x:v>
      </x:c>
      <x:c r="J27" s="30" t="n">
        <x:f>IFERROR(VLOOKUP(J6,'Energy'!$A$6:$H$26,5,FALSE),0)</x:f>
        <x:v>65884.86137421186</x:v>
      </x:c>
      <x:c r="K27" s="30" t="n">
        <x:f>IFERROR(VLOOKUP(K6,'Energy'!$A$6:$H$26,5,FALSE),0)</x:f>
        <x:v>65884.86137421186</x:v>
      </x:c>
      <x:c r="L27" s="30" t="n">
        <x:f>IFERROR(VLOOKUP(L6,'Energy'!$A$6:$H$26,5,FALSE),0)</x:f>
        <x:v>65884.86137421186</x:v>
      </x:c>
      <x:c r="M27" s="30" t="n">
        <x:f>IFERROR(VLOOKUP(M6,'Energy'!$A$6:$H$26,5,FALSE),0)</x:f>
        <x:v>65884.86137421186</x:v>
      </x:c>
      <x:c r="N27" s="30" t="n">
        <x:f>IFERROR(VLOOKUP(N6,'Energy'!$A$6:$H$26,5,FALSE),0)</x:f>
        <x:v>65884.86137421186</x:v>
      </x:c>
      <x:c r="O27" s="30" t="n">
        <x:f>IFERROR(VLOOKUP(O6,'Energy'!$A$6:$H$26,5,FALSE),0)</x:f>
        <x:v>65884.86137421186</x:v>
      </x:c>
      <x:c r="P27" s="30" t="n">
        <x:f>IFERROR(VLOOKUP(P6,'Energy'!$A$6:$H$26,5,FALSE),0)</x:f>
        <x:v>65884.86137421186</x:v>
      </x:c>
      <x:c r="Q27" s="1"/>
    </x:row>
    <x:row r="28" ht="25" customHeight="1">
      <x:c r="A28" s="1" t="str">
        <x:v>Energy lookup valid</x:v>
      </x:c>
      <x:c r="B28" s="19" t="n">
        <x:f>IF(COUNTIF('Energy'!$A$6:$A$26,B6)&gt;0,1,0)</x:f>
        <x:v>1</x:v>
      </x:c>
      <x:c r="C28" s="19" t="n">
        <x:f>IF(COUNTIF('Energy'!$A$6:$A$26,C6)&gt;0,1,0)</x:f>
        <x:v>1</x:v>
      </x:c>
      <x:c r="D28" s="19" t="n">
        <x:f>IF(COUNTIF('Energy'!$A$6:$A$26,D6)&gt;0,1,0)</x:f>
        <x:v>1</x:v>
      </x:c>
      <x:c r="E28" s="19" t="n">
        <x:f>IF(COUNTIF('Energy'!$A$6:$A$26,E6)&gt;0,1,0)</x:f>
        <x:v>1</x:v>
      </x:c>
      <x:c r="F28" s="19" t="n">
        <x:f>IF(COUNTIF('Energy'!$A$6:$A$26,F6)&gt;0,1,0)</x:f>
        <x:v>1</x:v>
      </x:c>
      <x:c r="G28" s="19" t="n">
        <x:f>IF(COUNTIF('Energy'!$A$6:$A$26,G6)&gt;0,1,0)</x:f>
        <x:v>1</x:v>
      </x:c>
      <x:c r="H28" s="19" t="n">
        <x:f>IF(COUNTIF('Energy'!$A$6:$A$26,H6)&gt;0,1,0)</x:f>
        <x:v>1</x:v>
      </x:c>
      <x:c r="I28" s="19" t="n">
        <x:f>IF(COUNTIF('Energy'!$A$6:$A$26,I6)&gt;0,1,0)</x:f>
        <x:v>1</x:v>
      </x:c>
      <x:c r="J28" s="19" t="n">
        <x:f>IF(COUNTIF('Energy'!$A$6:$A$26,J6)&gt;0,1,0)</x:f>
        <x:v>1</x:v>
      </x:c>
      <x:c r="K28" s="19" t="n">
        <x:f>IF(COUNTIF('Energy'!$A$6:$A$26,K6)&gt;0,1,0)</x:f>
        <x:v>1</x:v>
      </x:c>
      <x:c r="L28" s="19" t="n">
        <x:f>IF(COUNTIF('Energy'!$A$6:$A$26,L6)&gt;0,1,0)</x:f>
        <x:v>1</x:v>
      </x:c>
      <x:c r="M28" s="19" t="n">
        <x:f>IF(COUNTIF('Energy'!$A$6:$A$26,M6)&gt;0,1,0)</x:f>
        <x:v>1</x:v>
      </x:c>
      <x:c r="N28" s="19" t="n">
        <x:f>IF(COUNTIF('Energy'!$A$6:$A$26,N6)&gt;0,1,0)</x:f>
        <x:v>1</x:v>
      </x:c>
      <x:c r="O28" s="19" t="n">
        <x:f>IF(COUNTIF('Energy'!$A$6:$A$26,O6)&gt;0,1,0)</x:f>
        <x:v>1</x:v>
      </x:c>
      <x:c r="P28" s="19" t="n">
        <x:f>IF(COUNTIF('Energy'!$A$6:$A$26,P6)&gt;0,1,0)</x:f>
        <x:v>1</x:v>
      </x:c>
      <x:c r="Q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5" customHeight="1">
      <x:c r="A31" s="1" t="str">
        <x:v>Year 0 + annual cash flows</x:v>
      </x:c>
      <x:c r="B31" s="22" t="n">
        <x:f>-('Inputs'!$B$52*(1+'Inputs'!$B$53))</x:f>
        <x:v>-57600000</x:v>
      </x:c>
      <x:c r="C31" s="28" t="n">
        <x:f>B21</x:f>
        <x:v>1860000</x:v>
      </x:c>
      <x:c r="D31" s="28" t="n">
        <x:f>C21</x:f>
        <x:v>3549600</x:v>
      </x:c>
      <x:c r="E31" s="28" t="n">
        <x:f>D21</x:f>
        <x:v>5306040</x:v>
      </x:c>
      <x:c r="F31" s="28" t="n">
        <x:f>E21</x:f>
        <x:v>7131317.760000002</x:v>
      </x:c>
      <x:c r="G31" s="28" t="n">
        <x:f>F21</x:f>
        <x:v>8442970.848000001</x:v>
      </x:c>
      <x:c r="H31" s="28" t="n">
        <x:f>G21</x:f>
        <x:v>9208033.898688</x:v>
      </x:c>
      <x:c r="I31" s="28" t="n">
        <x:f>H21</x:f>
        <x:v>9392194.576661762</x:v>
      </x:c>
      <x:c r="J31" s="28" t="n">
        <x:f>I21</x:f>
        <x:v>6133981.465247155</x:v>
      </x:c>
      <x:c r="K31" s="28" t="n">
        <x:f>J21</x:f>
        <x:v>9771639.237558898</x:v>
      </x:c>
      <x:c r="L31" s="28" t="n">
        <x:f>K21</x:f>
        <x:v>9967072.022310078</x:v>
      </x:c>
      <x:c r="M31" s="28" t="n">
        <x:f>L21</x:f>
        <x:v>10166413.462756276</x:v>
      </x:c>
      <x:c r="N31" s="28" t="n">
        <x:f>M21</x:f>
        <x:v>10369741.732011404</x:v>
      </x:c>
      <x:c r="O31" s="28" t="n">
        <x:f>N21</x:f>
        <x:v>10577136.566651627</x:v>
      </x:c>
      <x:c r="P31" s="28" t="n">
        <x:f>O21</x:f>
        <x:v>10788679.297984663</x:v>
      </x:c>
      <x:c r="Q31" s="28" t="n">
        <x:f>P21</x:f>
        <x:v>20504699.977997035</x:v>
      </x:c>
    </x:row>
    <x:row r="32">
      <x:c r="A32" s="1" t="str">
        <x:v>Last nonzero cash-flow sign</x:v>
      </x:c>
      <x:c r="B32" s="37" t="n">
        <x:f>SIGN(B31)</x:f>
        <x:v>-1</x:v>
      </x:c>
      <x:c r="C32" s="37" t="n">
        <x:f>IF(C31=0,B32,SIGN(C31))</x:f>
        <x:v>1</x:v>
      </x:c>
      <x:c r="D32" s="37" t="n">
        <x:f>IF(D31=0,C32,SIGN(D31))</x:f>
        <x:v>1</x:v>
      </x:c>
      <x:c r="E32" s="37" t="n">
        <x:f>IF(E31=0,D32,SIGN(E31))</x:f>
        <x:v>1</x:v>
      </x:c>
      <x:c r="F32" s="37" t="n">
        <x:f>IF(F31=0,E32,SIGN(F31))</x:f>
        <x:v>1</x:v>
      </x:c>
      <x:c r="G32" s="37" t="n">
        <x:f>IF(G31=0,F32,SIGN(G31))</x:f>
        <x:v>1</x:v>
      </x:c>
      <x:c r="H32" s="37" t="n">
        <x:f>IF(H31=0,G32,SIGN(H31))</x:f>
        <x:v>1</x:v>
      </x:c>
      <x:c r="I32" s="37" t="n">
        <x:f>IF(I31=0,H32,SIGN(I31))</x:f>
        <x:v>1</x:v>
      </x:c>
      <x:c r="J32" s="37" t="n">
        <x:f>IF(J31=0,I32,SIGN(J31))</x:f>
        <x:v>1</x:v>
      </x:c>
      <x:c r="K32" s="37" t="n">
        <x:f>IF(K31=0,J32,SIGN(K31))</x:f>
        <x:v>1</x:v>
      </x:c>
      <x:c r="L32" s="37" t="n">
        <x:f>IF(L31=0,K32,SIGN(L31))</x:f>
        <x:v>1</x:v>
      </x:c>
      <x:c r="M32" s="37" t="n">
        <x:f>IF(M31=0,L32,SIGN(M31))</x:f>
        <x:v>1</x:v>
      </x:c>
      <x:c r="N32" s="37" t="n">
        <x:f>IF(N31=0,M32,SIGN(N31))</x:f>
        <x:v>1</x:v>
      </x:c>
      <x:c r="O32" s="37" t="n">
        <x:f>IF(O31=0,N32,SIGN(O31))</x:f>
        <x:v>1</x:v>
      </x:c>
      <x:c r="P32" s="37" t="n">
        <x:f>IF(P31=0,O32,SIGN(P31))</x:f>
        <x:v>1</x:v>
      </x:c>
      <x:c r="Q32" s="37" t="n">
        <x:f>IF(Q31=0,P32,SIGN(Q31))</x:f>
        <x:v>1</x:v>
      </x:c>
    </x:row>
    <x:row r="33">
      <x:c r="A33" s="1" t="str">
        <x:v>Cash-flow sign changes</x:v>
      </x:c>
      <x:c r="B33" s="24" t="n">
        <x:v>0</x:v>
      </x:c>
      <x:c r="C33" s="37" t="n">
        <x:f>IF(C32&lt;&gt;B32,1,0)</x:f>
        <x:v>1</x:v>
      </x:c>
      <x:c r="D33" s="37" t="n">
        <x:f>IF(D32&lt;&gt;C32,1,0)</x:f>
        <x:v>0</x:v>
      </x:c>
      <x:c r="E33" s="37" t="n">
        <x:f>IF(E32&lt;&gt;D32,1,0)</x:f>
        <x:v>0</x:v>
      </x:c>
      <x:c r="F33" s="37" t="n">
        <x:f>IF(F32&lt;&gt;E32,1,0)</x:f>
        <x:v>0</x:v>
      </x:c>
      <x:c r="G33" s="37" t="n">
        <x:f>IF(G32&lt;&gt;F32,1,0)</x:f>
        <x:v>0</x:v>
      </x:c>
      <x:c r="H33" s="37" t="n">
        <x:f>IF(H32&lt;&gt;G32,1,0)</x:f>
        <x:v>0</x:v>
      </x:c>
      <x:c r="I33" s="37" t="n">
        <x:f>IF(I32&lt;&gt;H32,1,0)</x:f>
        <x:v>0</x:v>
      </x:c>
      <x:c r="J33" s="37" t="n">
        <x:f>IF(J32&lt;&gt;I32,1,0)</x:f>
        <x:v>0</x:v>
      </x:c>
      <x:c r="K33" s="37" t="n">
        <x:f>IF(K32&lt;&gt;J32,1,0)</x:f>
        <x:v>0</x:v>
      </x:c>
      <x:c r="L33" s="37" t="n">
        <x:f>IF(L32&lt;&gt;K32,1,0)</x:f>
        <x:v>0</x:v>
      </x:c>
      <x:c r="M33" s="37" t="n">
        <x:f>IF(M32&lt;&gt;L32,1,0)</x:f>
        <x:v>0</x:v>
      </x:c>
      <x:c r="N33" s="37" t="n">
        <x:f>IF(N32&lt;&gt;M32,1,0)</x:f>
        <x:v>0</x:v>
      </x:c>
      <x:c r="O33" s="37" t="n">
        <x:f>IF(O32&lt;&gt;N32,1,0)</x:f>
        <x:v>0</x:v>
      </x:c>
      <x:c r="P33" s="37" t="n">
        <x:f>IF(P32&lt;&gt;O32,1,0)</x:f>
        <x:v>0</x:v>
      </x:c>
      <x:c r="Q33" s="37" t="n">
        <x:f>IF(Q32&lt;&gt;P32,1,0)</x:f>
        <x:v>0</x:v>
      </x:c>
    </x:row>
    <x:row r="34">
      <x:c r="A34" s="5" t="str">
        <x:v>A failed Energy lookup substitutes zero only to keep formulas readable; Checks marks the model REBUILD ENERGY and Overview suppresses headline valuation. Do not use any financial result while model status is not OK.</x:v>
      </x:c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H2"/>
    <x:mergeCell ref="A3:H3"/>
    <x:mergeCell ref="A34:Q35"/>
  </x:mergeCells>
  <x:dataValidations count="1">
    <x:dataValidation type="list" sqref="B6:P6">
      <x:formula1>"0,0.05,0.1,0.15,0.2,0.25,0.3,0.35,0.4,0.45,0.5,0.55,0.6,0.65,0.7,0.75,0.8,0.85,0.9,0.95,1"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4" hidden="0" customWidth="1"/>
    <x:col min="5" max="5" width="47" hidden="0" customWidth="1"/>
  </x:cols>
  <x:sheetData>
    <x:row r="1">
      <x:c r="A1" s="3" t="str">
        <x:v>SENSITIVITY / NPV, UNDERLYING CASH FLOWS</x:v>
      </x:c>
      <x:c r="B1" s="3"/>
      <x:c r="C1" s="3"/>
      <x:c r="D1" s="3"/>
      <x:c r="E1" s="3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/>
      <x:c r="B2" s="3"/>
      <x:c r="C2" s="3"/>
      <x:c r="D2" s="3"/>
      <x:c r="E2" s="3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32" customHeight="1">
      <x:c r="A3" s="5" t="str">
        <x:v>Concept / synthetic assumptions | nominal USD | 3 September 2026</x:v>
      </x:c>
      <x:c r="B3" s="5"/>
      <x:c r="C3" s="5"/>
      <x:c r="D3" s="5"/>
      <x:c r="E3" s="5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Case</x:v>
      </x:c>
      <x:c r="B5" s="8" t="str">
        <x:v>CAPEX factor</x:v>
      </x:c>
      <x:c r="C5" s="8" t="str">
        <x:v>Capacity-price factor</x:v>
      </x:c>
      <x:c r="D5" s="8" t="str">
        <x:v>NPV USD</x:v>
      </x:c>
      <x:c r="E5" s="8" t="str">
        <x:v>Cash-flow adjustment basis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9" customHeight="1">
      <x:c r="A6" s="1" t="str">
        <x:v>Case 1</x:v>
      </x:c>
      <x:c r="B6" s="38" t="n">
        <x:v>0.8</x:v>
      </x:c>
      <x:c r="C6" s="38" t="n">
        <x:v>0.8</x:v>
      </x:c>
      <x:c r="D6" s="22" t="n">
        <x:f>SUM('CashFlow'!B23:P23)+(C6-1)*SUMPRODUCT('CashFlow'!B9:P9,'CashFlow'!B22:P22)-(B6-1)*SUMPRODUCT('CashFlow'!B15:P15,'CashFlow'!B22:P22)+(B6-1)*SUMPRODUCT('CashFlow'!B20:P20,'CashFlow'!B22:P22)-('Inputs'!$B$52*(1+'Inputs'!$B$53))*B6</x:f>
        <x:v>-2618288.0151006803</x:v>
      </x:c>
      <x:c r="E6" s="1" t="str">
        <x:v>Rent, initial CAPEX, maintenance and residual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9" customHeight="1">
      <x:c r="A7" s="1" t="str">
        <x:v>Case 2</x:v>
      </x:c>
      <x:c r="B7" s="38" t="n">
        <x:v>0.8</x:v>
      </x:c>
      <x:c r="C7" s="38" t="n">
        <x:v>1</x:v>
      </x:c>
      <x:c r="D7" s="22" t="n">
        <x:f>SUM('CashFlow'!B23:P23)+(C7-1)*SUMPRODUCT('CashFlow'!B9:P9,'CashFlow'!B22:P22)-(B7-1)*SUMPRODUCT('CashFlow'!B15:P15,'CashFlow'!B22:P22)+(B7-1)*SUMPRODUCT('CashFlow'!B20:P20,'CashFlow'!B22:P22)-('Inputs'!$B$52*(1+'Inputs'!$B$53))*B7</x:f>
        <x:v>11956030.51568377</x:v>
      </x:c>
      <x:c r="E7" s="1" t="str">
        <x:v>Rent, initial CAPEX, maintenance and residual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9" customHeight="1">
      <x:c r="A8" s="1" t="str">
        <x:v>Case 3</x:v>
      </x:c>
      <x:c r="B8" s="38" t="n">
        <x:v>0.8</x:v>
      </x:c>
      <x:c r="C8" s="38" t="n">
        <x:v>1.2</x:v>
      </x:c>
      <x:c r="D8" s="22" t="n">
        <x:f>SUM('CashFlow'!B23:P23)+(C8-1)*SUMPRODUCT('CashFlow'!B9:P9,'CashFlow'!B22:P22)-(B8-1)*SUMPRODUCT('CashFlow'!B15:P15,'CashFlow'!B22:P22)+(B8-1)*SUMPRODUCT('CashFlow'!B20:P20,'CashFlow'!B22:P22)-('Inputs'!$B$52*(1+'Inputs'!$B$53))*B8</x:f>
        <x:v>26530349.046468228</x:v>
      </x:c>
      <x:c r="E8" s="1" t="str">
        <x:v>Rent, initial CAPEX, maintenance and residual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9" customHeight="1">
      <x:c r="A9" s="1" t="str">
        <x:v>Case 4</x:v>
      </x:c>
      <x:c r="B9" s="38" t="n">
        <x:v>1</x:v>
      </x:c>
      <x:c r="C9" s="38" t="n">
        <x:v>0.8</x:v>
      </x:c>
      <x:c r="D9" s="22" t="n">
        <x:f>SUM('CashFlow'!B23:P23)+(C9-1)*SUMPRODUCT('CashFlow'!B9:P9,'CashFlow'!B22:P22)-(B9-1)*SUMPRODUCT('CashFlow'!B15:P15,'CashFlow'!B22:P22)+(B9-1)*SUMPRODUCT('CashFlow'!B20:P20,'CashFlow'!B22:P22)-('Inputs'!$B$52*(1+'Inputs'!$B$53))*B9</x:f>
        <x:v>-14903488.96738246</x:v>
      </x:c>
      <x:c r="E9" s="1" t="str">
        <x:v>Rent, initial CAPEX, maintenance and residual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9" customHeight="1">
      <x:c r="A10" s="1" t="str">
        <x:v>Case 5</x:v>
      </x:c>
      <x:c r="B10" s="38" t="n">
        <x:v>1</x:v>
      </x:c>
      <x:c r="C10" s="38" t="n">
        <x:v>1</x:v>
      </x:c>
      <x:c r="D10" s="22" t="n">
        <x:f>SUM('CashFlow'!B23:P23)+(C10-1)*SUMPRODUCT('CashFlow'!B9:P9,'CashFlow'!B22:P22)-(B10-1)*SUMPRODUCT('CashFlow'!B15:P15,'CashFlow'!B22:P22)+(B10-1)*SUMPRODUCT('CashFlow'!B20:P20,'CashFlow'!B22:P22)-('Inputs'!$B$52*(1+'Inputs'!$B$53))*B10</x:f>
        <x:v>-329170.43659801036</x:v>
      </x:c>
      <x:c r="E10" s="1" t="str">
        <x:v>Rent, initial CAPEX, maintenance and residual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9" customHeight="1">
      <x:c r="A11" s="1" t="str">
        <x:v>Case 6</x:v>
      </x:c>
      <x:c r="B11" s="38" t="n">
        <x:v>1</x:v>
      </x:c>
      <x:c r="C11" s="38" t="n">
        <x:v>1.2</x:v>
      </x:c>
      <x:c r="D11" s="22" t="n">
        <x:f>SUM('CashFlow'!B23:P23)+(C11-1)*SUMPRODUCT('CashFlow'!B9:P9,'CashFlow'!B22:P22)-(B11-1)*SUMPRODUCT('CashFlow'!B15:P15,'CashFlow'!B22:P22)+(B11-1)*SUMPRODUCT('CashFlow'!B20:P20,'CashFlow'!B22:P22)-('Inputs'!$B$52*(1+'Inputs'!$B$53))*B11</x:f>
        <x:v>14245148.09418644</x:v>
      </x:c>
      <x:c r="E11" s="1" t="str">
        <x:v>Rent, initial CAPEX, maintenance and residual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9" customHeight="1">
      <x:c r="A12" s="1" t="str">
        <x:v>Case 7</x:v>
      </x:c>
      <x:c r="B12" s="38" t="n">
        <x:v>1.2</x:v>
      </x:c>
      <x:c r="C12" s="38" t="n">
        <x:v>0.8</x:v>
      </x:c>
      <x:c r="D12" s="22" t="n">
        <x:f>SUM('CashFlow'!B23:P23)+(C12-1)*SUMPRODUCT('CashFlow'!B9:P9,'CashFlow'!B22:P22)-(B12-1)*SUMPRODUCT('CashFlow'!B15:P15,'CashFlow'!B22:P22)+(B12-1)*SUMPRODUCT('CashFlow'!B20:P20,'CashFlow'!B22:P22)-('Inputs'!$B$52*(1+'Inputs'!$B$53))*B12</x:f>
        <x:v>-27188689.91966424</x:v>
      </x:c>
      <x:c r="E12" s="1" t="str">
        <x:v>Rent, initial CAPEX, maintenance and residual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9" customHeight="1">
      <x:c r="A13" s="1" t="str">
        <x:v>Case 8</x:v>
      </x:c>
      <x:c r="B13" s="38" t="n">
        <x:v>1.2</x:v>
      </x:c>
      <x:c r="C13" s="38" t="n">
        <x:v>1</x:v>
      </x:c>
      <x:c r="D13" s="22" t="n">
        <x:f>SUM('CashFlow'!B23:P23)+(C13-1)*SUMPRODUCT('CashFlow'!B9:P9,'CashFlow'!B22:P22)-(B13-1)*SUMPRODUCT('CashFlow'!B15:P15,'CashFlow'!B22:P22)+(B13-1)*SUMPRODUCT('CashFlow'!B20:P20,'CashFlow'!B22:P22)-('Inputs'!$B$52*(1+'Inputs'!$B$53))*B13</x:f>
        <x:v>-12614371.38887979</x:v>
      </x:c>
      <x:c r="E13" s="1" t="str">
        <x:v>Rent, initial CAPEX, maintenance and residual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9" customHeight="1">
      <x:c r="A14" s="1" t="str">
        <x:v>Case 9</x:v>
      </x:c>
      <x:c r="B14" s="38" t="n">
        <x:v>1.2</x:v>
      </x:c>
      <x:c r="C14" s="38" t="n">
        <x:v>1.2</x:v>
      </x:c>
      <x:c r="D14" s="22" t="n">
        <x:f>SUM('CashFlow'!B23:P23)+(C14-1)*SUMPRODUCT('CashFlow'!B9:P9,'CashFlow'!B22:P22)-(B14-1)*SUMPRODUCT('CashFlow'!B15:P15,'CashFlow'!B22:P22)+(B14-1)*SUMPRODUCT('CashFlow'!B20:P20,'CashFlow'!B22:P22)-('Inputs'!$B$52*(1+'Inputs'!$B$53))*B14</x:f>
        <x:v>1959947.1419046521</x:v>
      </x:c>
      <x:c r="E14" s="1" t="str">
        <x:v>Rent, initial CAPEX, maintenance and residual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5" t="str">
        <x:v>Maintenance and residual change with base CAPEX; replacement stays an independent assumption. All rows use the base occupancy ramp. Use results only when Checks status is OK.</x:v>
      </x:c>
      <x:c r="B17" s="5"/>
      <x:c r="C17" s="5"/>
      <x:c r="D17" s="5"/>
      <x:c r="E17" s="5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5"/>
      <x:c r="B18" s="5"/>
      <x:c r="C18" s="5"/>
      <x:c r="D18" s="5"/>
      <x:c r="E18" s="5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E2"/>
    <x:mergeCell ref="A3:E3"/>
    <x:mergeCell ref="A17:E18"/>
  </x:mergeCells>
  <x:conditionalFormatting sqref="D6:D14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3" hidden="0" customWidth="1"/>
    <x:col min="7" max="7" width="60" hidden="0" customWidth="1"/>
  </x:cols>
  <x:sheetData>
    <x:row r="1">
      <x:c r="A1" s="3" t="str">
        <x:v>CHECKS / TRUST THE STATUS FIRST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/>
      <x:c r="B2" s="3"/>
      <x:c r="C2" s="3"/>
      <x:c r="D2" s="3"/>
      <x:c r="E2" s="3"/>
      <x:c r="F2" s="3"/>
      <x:c r="G2" s="3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32" customHeight="1">
      <x:c r="A3" s="5" t="str">
        <x:v>Concept / synthetic assumptions | nominal USD | 3 September 2026</x:v>
      </x:c>
      <x:c r="B3" s="5"/>
      <x:c r="C3" s="5"/>
      <x:c r="D3" s="5"/>
      <x:c r="E3" s="5"/>
      <x:c r="F3" s="5"/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Check</x:v>
      </x:c>
      <x:c r="B5" s="8" t="str">
        <x:v>Actual</x:v>
      </x:c>
      <x:c r="C5" s="8" t="str">
        <x:v>Expected</x:v>
      </x:c>
      <x:c r="D5" s="8" t="str">
        <x:v>Difference</x:v>
      </x:c>
      <x:c r="E5" s="8" t="str">
        <x:v>Tolerance</x:v>
      </x:c>
      <x:c r="F5" s="8" t="str">
        <x:v>Status</x:v>
      </x:c>
      <x:c r="G5" s="8" t="str">
        <x:v>Action / interpretation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3" customHeight="1">
      <x:c r="A6" s="1" t="str">
        <x:v>Physical-energy input drift</x:v>
      </x:c>
      <x:c r="B6" s="18" t="n">
        <x:f>SUMIF('Inputs'!G6:G66,"energy",'Inputs'!F6:F66)</x:f>
        <x:v>0</x:v>
      </x:c>
      <x:c r="C6" s="13" t="n">
        <x:v>0</x:v>
      </x:c>
      <x:c r="D6" s="14" t="n">
        <x:f>B6-C6</x:f>
        <x:v>0</x:v>
      </x:c>
      <x:c r="E6" s="13" t="n">
        <x:v>1e-10</x:v>
      </x:c>
      <x:c r="F6" s="9" t="str">
        <x:f>IF(ABS(D6)&lt;=E6,"OK","FAIL")</x:f>
        <x:v>OK</x:v>
      </x:c>
      <x:c r="G6" s="39" t="str">
        <x:v>Regenerate Python energy and replace imported table after physical changes.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43" customHeight="1">
      <x:c r="A7" s="1" t="str">
        <x:v>Rack capacity reconciliation</x:v>
      </x:c>
      <x:c r="B7" s="18" t="n">
        <x:f>'Engineering'!B6-'Inputs'!$B$6</x:f>
        <x:v>0</x:v>
      </x:c>
      <x:c r="C7" s="13" t="n">
        <x:v>0</x:v>
      </x:c>
      <x:c r="D7" s="14" t="n">
        <x:f>B7-C7</x:f>
        <x:v>0</x:v>
      </x:c>
      <x:c r="E7" s="13" t="n">
        <x:v>1e-8</x:v>
      </x:c>
      <x:c r="F7" s="9" t="str">
        <x:f>IF(ABS(D7)&lt;=E7,"OK","FAIL")</x:f>
        <x:v>OK</x:v>
      </x:c>
      <x:c r="G7" s="39" t="str">
        <x:v>Hall/rack design demand must equal configured IT capacity.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43" customHeight="1">
      <x:c r="A8" s="1" t="str">
        <x:v>Valid energy lookups</x:v>
      </x:c>
      <x:c r="B8" s="18" t="n">
        <x:f>SUM('CashFlow'!B28:P28)</x:f>
        <x:v>15</x:v>
      </x:c>
      <x:c r="C8" s="13" t="n">
        <x:v>15</x:v>
      </x:c>
      <x:c r="D8" s="14" t="n">
        <x:f>B8-C8</x:f>
        <x:v>0</x:v>
      </x:c>
      <x:c r="E8" s="13" t="n">
        <x:v>0</x:v>
      </x:c>
      <x:c r="F8" s="9" t="str">
        <x:f>IF(ABS(D8)&lt;=E8,"OK","FAIL")</x:f>
        <x:v>OK</x:v>
      </x:c>
      <x:c r="G8" s="39" t="str">
        <x:v>Use occupancy in the Energy table; missing values require a new energy run.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43" customHeight="1">
      <x:c r="A9" s="1" t="str">
        <x:v>PV cash-flow sum</x:v>
      </x:c>
      <x:c r="B9" s="18" t="n">
        <x:f>SUM('CashFlow'!B23:P23)-NPV('Inputs'!$B$58,'CashFlow'!B21:P21)</x:f>
        <x:v>0</x:v>
      </x:c>
      <x:c r="C9" s="13" t="n">
        <x:v>0</x:v>
      </x:c>
      <x:c r="D9" s="14" t="n">
        <x:f>B9-C9</x:f>
        <x:v>0</x:v>
      </x:c>
      <x:c r="E9" s="13" t="n">
        <x:v>0.01</x:v>
      </x:c>
      <x:c r="F9" s="9" t="str">
        <x:f>IF(ABS(D9)&lt;=E9,"OK","FAIL")</x:f>
        <x:v>OK</x:v>
      </x:c>
      <x:c r="G9" s="39" t="str">
        <x:v>Year-end discounting must reconcile.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43" customHeight="1">
      <x:c r="A10" s="1" t="str">
        <x:v>Full-occupancy power bill</x:v>
      </x:c>
      <x:c r="B10" s="18" t="n">
        <x:f>'Energy'!F26-('Energy'!D26*'Inputs'!$B$41+'Energy'!E26*'Inputs'!$B$42)</x:f>
        <x:v>0</x:v>
      </x:c>
      <x:c r="C10" s="13" t="n">
        <x:v>0</x:v>
      </x:c>
      <x:c r="D10" s="14" t="n">
        <x:f>B10-C10</x:f>
        <x:v>0</x:v>
      </x:c>
      <x:c r="E10" s="13" t="n">
        <x:v>0.01</x:v>
      </x:c>
      <x:c r="F10" s="9" t="str">
        <x:f>IF(ABS(D10)&lt;=E10,"OK","FAIL")</x:f>
        <x:v>OK</x:v>
      </x:c>
      <x:c r="G10" s="39" t="str">
        <x:v>Energy plus sum of monthly demand charges.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43" customHeight="1">
      <x:c r="A11" s="1" t="str">
        <x:v>Cash-flow tie</x:v>
      </x:c>
      <x:c r="B11" s="18" t="n">
        <x:f>SUM('CashFlow'!B21:P21)-SUM('CashFlow'!B18:P18)+SUM('CashFlow'!B19:P19)-SUM('CashFlow'!B20:P20)</x:f>
        <x:v>9.313225746154785e-9</x:v>
      </x:c>
      <x:c r="C11" s="13" t="n">
        <x:v>0</x:v>
      </x:c>
      <x:c r="D11" s="14" t="n">
        <x:f>B11-C11</x:f>
        <x:v>9.313225746154785e-9</x:v>
      </x:c>
      <x:c r="E11" s="13" t="n">
        <x:v>0.01</x:v>
      </x:c>
      <x:c r="F11" s="9" t="str">
        <x:f>IF(ABS(D11)&lt;=E11,"OK","FAIL")</x:f>
        <x:v>OK</x:v>
      </x:c>
      <x:c r="G11" s="39" t="str">
        <x:v>Net cash = operating cash - replacement + residual.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43" customHeight="1">
      <x:c r="A12" s="1" t="str">
        <x:v>UPS N+1 surviving margin</x:v>
      </x:c>
      <x:c r="B12" s="18" t="n">
        <x:f>('Engineering'!B17-1)*'Inputs'!$B$16-'Engineering'!B6/'Inputs'!$B$12*(1+'Inputs'!$B$15)</x:f>
        <x:v>694.4444444444443</x:v>
      </x:c>
      <x:c r="C12" s="13" t="n">
        <x:v>0</x:v>
      </x:c>
      <x:c r="D12" s="14" t="n">
        <x:f>B12-C12</x:f>
        <x:v>694.4444444444443</x:v>
      </x:c>
      <x:c r="E12" s="13" t="n">
        <x:v>0</x:v>
      </x:c>
      <x:c r="F12" s="9" t="str">
        <x:f>IF(B12&gt;=C12,"OK","FAIL")</x:f>
        <x:v>OK</x:v>
      </x:c>
      <x:c r="G12" s="39" t="str">
        <x:v>Nonnegative surviving capacity margin; not topology proof.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 t="str">
        <x:v>MODEL STATUS</x:v>
      </x:c>
      <x:c r="B15" s="9" t="str">
        <x:f>IF(COUNTIF(F6:F12,"FAIL")&gt;0,"REBUILD / FIX","OK")</x:f>
        <x:v>OK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5" t="str">
        <x:v>OK verifies selected mathematical checks, not investment suitability, local code compliance, engineering sign-off or physical accuracy. Imported energy coefficients remain tied to the baseline physics.</x:v>
      </x:c>
      <x:c r="B18" s="5"/>
      <x:c r="C18" s="5"/>
      <x:c r="D18" s="5"/>
      <x:c r="E18" s="5"/>
      <x:c r="F18" s="5"/>
      <x:c r="G18" s="5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5"/>
      <x:c r="B19" s="5"/>
      <x:c r="C19" s="5"/>
      <x:c r="D19" s="5"/>
      <x:c r="E19" s="5"/>
      <x:c r="F19" s="5"/>
      <x:c r="G19" s="5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G2"/>
    <x:mergeCell ref="A3:G3"/>
    <x:mergeCell ref="A18:G19"/>
  </x:mergeCells>
  <x:conditionalFormatting sqref="F6:F12">
    <x:cfRule type="containsText" dxfId="1" priority="1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8" hidden="0" customWidth="1"/>
    <x:col min="3" max="3" width="39" hidden="0" customWidth="1"/>
    <x:col min="4" max="4" width="60" hidden="0" customWidth="1"/>
    <x:col min="5" max="5" width="65" hidden="0" customWidth="1"/>
  </x:cols>
  <x:sheetData>
    <x:row r="1">
      <x:c r="A1" s="3" t="str">
        <x:v>SOURCES / PROVENANCE AND ACCESS LIMITS</x:v>
      </x:c>
      <x:c r="B1" s="3"/>
      <x:c r="C1" s="3"/>
      <x:c r="D1" s="3"/>
      <x:c r="E1" s="3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/>
      <x:c r="B2" s="3"/>
      <x:c r="C2" s="3"/>
      <x:c r="D2" s="3"/>
      <x:c r="E2" s="3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32" customHeight="1">
      <x:c r="A3" s="5" t="str">
        <x:v>Concept / synthetic assumptions | nominal USD | 3 September 2026</x:v>
      </x:c>
      <x:c r="B3" s="5"/>
      <x:c r="C3" s="5"/>
      <x:c r="D3" s="5"/>
      <x:c r="E3" s="5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ID</x:v>
      </x:c>
      <x:c r="B5" s="8" t="str">
        <x:v>Source title</x:v>
      </x:c>
      <x:c r="C5" s="8" t="str">
        <x:v>Publisher / date</x:v>
      </x:c>
      <x:c r="D5" s="8" t="str">
        <x:v>URL</x:v>
      </x:c>
      <x:c r="E5" s="8" t="str">
        <x:v>Access / use limitation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62" customHeight="1">
      <x:c r="A6" s="39" t="str">
        <x:v>S01</x:v>
      </x:c>
      <x:c r="B6" s="39" t="str">
        <x:v>Best Practices Guide for Energy-Efficient Data Center Design</x:v>
      </x:c>
      <x:c r="C6" s="39" t="str">
        <x:v>DOE/FEMP; Otto Van Geet and David Sickinger, NREL; LBNL host; 2024-07</x:v>
      </x:c>
      <x:c r="D6" s="39" t="str">
        <x:v>https://datacenters.lbl.gov/sites/default/files/2025-07/best-practice-guide-data-center-design.pdf</x:v>
      </x:c>
      <x:c r="E6" s="39" t="str">
        <x:v>Public PDF read; broad design and metric guidance; no local compliance claim.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62" customHeight="1">
      <x:c r="A7" s="39" t="str">
        <x:v>S02</x:v>
      </x:c>
      <x:c r="B7" s="39" t="str">
        <x:v>Data Center Tier Certification</x:v>
      </x:c>
      <x:c r="C7" s="39" t="str">
        <x:v>Uptime Institute; undated</x:v>
      </x:c>
      <x:c r="D7" s="39" t="str">
        <x:v>https://connect.uptimeinstitute.com/tier-certification</x:v>
      </x:c>
      <x:c r="E7" s="39" t="str">
        <x:v>Public overview read; complete standards not reviewed.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62" customHeight="1">
      <x:c r="A8" s="39" t="str">
        <x:v>S03</x:v>
      </x:c>
      <x:c r="B8" s="39" t="str">
        <x:v>Achieving High Reliability, Energy Efficiency in Data Center Design, Operations</x:v>
      </x:c>
      <x:c r="C8" s="39" t="str">
        <x:v>ASHRAE; 2021-03-23</x:v>
      </x:c>
      <x:c r="D8" s="39" t="str">
        <x:v>https://www.ashrae.org/news/ashraejournal/achieving-high-reliability-energy-efficiency-in-data-center-design-operations</x:v>
      </x:c>
      <x:c r="E8" s="39" t="str">
        <x:v>Public article read; full fifth-edition book not accessed.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62" customHeight="1">
      <x:c r="A9" s="39" t="str">
        <x:v>S04</x:v>
      </x:c>
      <x:c r="B9" s="39" t="str">
        <x:v>AI Data Center Framework: Tools, Standards, and Resources</x:v>
      </x:c>
      <x:c r="C9" s="39" t="str">
        <x:v>ASHRAE; undated</x:v>
      </x:c>
      <x:c r="D9" s="39" t="str">
        <x:v>https://www.ashrae.org/technical-resources/ai-data-center-framework/tools-standards-and-resources</x:v>
      </x:c>
      <x:c r="E9" s="39" t="str">
        <x:v>Directory read; encyclopedia substantive content inaccessible.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62" customHeight="1">
      <x:c r="A10" s="39" t="str">
        <x:v>S05</x:v>
      </x:c>
      <x:c r="B10" s="39" t="str">
        <x:v>Data Center Liquid Distribution Guidance and Reference Designs, Revision 0</x:v>
      </x:c>
      <x:c r="C10" s="39" t="str">
        <x:v>Open Compute Project; undated</x:v>
      </x:c>
      <x:c r="D10" s="39" t="str">
        <x:v>https://www.opencompute.org/documents/ocp-acf-reference-design-guidance-white-paper-pdf-1</x:v>
      </x:c>
      <x:c r="E10" s="39" t="str">
        <x:v>Public PDF read; CC BY-SA 4.0; cite only, assets not redistributed.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62" customHeight="1">
      <x:c r="A11" s="39" t="str">
        <x:v>S06</x:v>
      </x:c>
      <x:c r="B11" s="39" t="str">
        <x:v>Colocation Facility Guidelines for Deployment of Open Racks v4.0</x:v>
      </x:c>
      <x:c r="C11" s="39" t="str">
        <x:v>Open Compute Project; 2020-12-15</x:v>
      </x:c>
      <x:c r="D11" s="39" t="str">
        <x:v>https://www.opencompute.org/documents/colo-facility-guidelines-for-ocp-racks-v40</x:v>
      </x:c>
      <x:c r="E11" s="39" t="str">
        <x:v>Public PDF read; inconsistent BY-SA/BY notices; no copied assets. Covers Open Rack v1/v2.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62" customHeight="1">
      <x:c r="A12" s="39" t="str">
        <x:v>S07</x:v>
      </x:c>
      <x:c r="B12" s="39" t="str">
        <x:v>Omniverse DSX Blueprint for AI Factories</x:v>
      </x:c>
      <x:c r="C12" s="39" t="str">
        <x:v>NVIDIA; live repository</x:v>
      </x:c>
      <x:c r="D12" s="39" t="str">
        <x:v>https://github.com/NVIDIA-Omniverse-blueprints/omniverse-dsx-blueprint-for-ai-factories</x:v>
      </x:c>
      <x:c r="E12" s="39" t="str">
        <x:v>README reviewed; NVIDIA license terms; NGC assets separate; runtime not executed.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62" customHeight="1">
      <x:c r="A13" s="39" t="str">
        <x:v>S08</x:v>
      </x:c>
      <x:c r="B13" s="39" t="str">
        <x:v>Data Center Design with Simscape</x:v>
      </x:c>
      <x:c r="C13" s="39" t="str">
        <x:v>MathWorks; 2025-2026</x:v>
      </x:c>
      <x:c r="D13" s="39" t="str">
        <x:v>https://github.com/simscape/Data-Center-Simscape</x:v>
      </x:c>
      <x:c r="E13" s="39" t="str">
        <x:v>BSD-3-Clause examples; MATLAB R2025b and listed commercial products required; not executed.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62" customHeight="1">
      <x:c r="A14" s="39" t="str">
        <x:v>S09</x:v>
      </x:c>
      <x:c r="B14" s="39" t="str">
        <x:v>Data Center Reference Design 100</x:v>
      </x:c>
      <x:c r="C14" s="39" t="str">
        <x:v>Schneider Electric; 2026-03-14, version 3.0</x:v>
      </x:c>
      <x:c r="D14" s="39" t="str">
        <x:v>https://www.se.com/us/en/download/document/RD100DSR0_EN/</x:v>
      </x:c>
      <x:c r="E14" s="39" t="str">
        <x:v>Official landing metadata read; PDF download unavailable; no redistribution license established.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62" customHeight="1">
      <x:c r="A15" s="39" t="str">
        <x:v>S10</x:v>
      </x:c>
      <x:c r="B15" s="39" t="str">
        <x:v>Data Center TradeOff Tools</x:v>
      </x:c>
      <x:c r="C15" s="39" t="str">
        <x:v>Schneider Electric; undated</x:v>
      </x:c>
      <x:c r="D15" s="39" t="str">
        <x:v>https://www.se.com/sg/en/work/solutions/data-centers-and-networks/trade-off-tools/</x:v>
      </x:c>
      <x:c r="E15" s="39" t="str">
        <x:v>Catalog read; no calculator parity test or public source-code/API confirmed.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62" customHeight="1">
      <x:c r="A16" s="39" t="str">
        <x:v>S11</x:v>
      </x:c>
      <x:c r="B16" s="39" t="str">
        <x:v>SustainDC: Benchmarking for Sustainable Data Center Control</x:v>
      </x:c>
      <x:c r="C16" s="39" t="str">
        <x:v>Avisek Naug et al.; Hewlett Packard Labs; 2024; arXiv v5 2025-04-30</x:v>
      </x:c>
      <x:c r="D16" s="39" t="str">
        <x:v>https://arxiv.org/abs/2408.07841</x:v>
      </x:c>
      <x:c r="E16" s="39" t="str">
        <x:v>Paper record and PDF read; paper CC BY-NC-ND 4.0; no adapted figures.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62" customHeight="1">
      <x:c r="A17" s="39" t="str">
        <x:v>S12</x:v>
      </x:c>
      <x:c r="B17" s="39" t="str">
        <x:v>SustainDC code</x:v>
      </x:c>
      <x:c r="C17" s="39" t="str">
        <x:v>Hewlett Packard Enterprise; 2024; live repository</x:v>
      </x:c>
      <x:c r="D17" s="39" t="str">
        <x:v>https://github.com/HewlettPackard/dc-rl</x:v>
      </x:c>
      <x:c r="E17" s="39" t="str">
        <x:v>MIT code; separate scientific/ML dependency stack; not executed.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62" customHeight="1">
      <x:c r="A18" s="39" t="str">
        <x:v>S13</x:v>
      </x:c>
      <x:c r="B18" s="39" t="str">
        <x:v>Life Cycle Costing Manual for FEMP, NIST HB 135e2025</x:v>
      </x:c>
      <x:c r="C18" s="39" t="str">
        <x:v>Joshua Kneifel and David Webb; NIST; 2025-08</x:v>
      </x:c>
      <x:c r="D18" s="39" t="str">
        <x:v>https://nvlpubs.nist.gov/nistpubs/hb/2025/NIST.HB.135e2025.pdf</x:v>
      </x:c>
      <x:c r="E18" s="39" t="str">
        <x:v>Public PDF inspected; supersedes 2022. US program parameters not used as Indonesian market inputs.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62" customHeight="1">
      <x:c r="A19" s="39" t="str">
        <x:v>S14</x:v>
      </x:c>
      <x:c r="B19" s="39" t="str">
        <x:v>Cooling Water Efficiency Opportunities for Federal Data Centers</x:v>
      </x:c>
      <x:c r="C19" s="39" t="str">
        <x:v>US Department of Energy; 2019-01-09</x:v>
      </x:c>
      <x:c r="D19" s="39" t="str">
        <x:v>https://www.energy.gov/cmei/femp/cooling-water-efficiency-opportunities-federal-data-centers</x:v>
      </x:c>
      <x:c r="E19" s="39" t="str">
        <x:v>Public page read; historical efficiency examples not used as current benchmarks.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62" customHeight="1">
      <x:c r="A20" s="39" t="str">
        <x:v>S15</x:v>
      </x:c>
      <x:c r="B20" s="39" t="str">
        <x:v>Omniverse Licensing</x:v>
      </x:c>
      <x:c r="C20" s="39" t="str">
        <x:v>NVIDIA; 2026-09-02</x:v>
      </x:c>
      <x:c r="D20" s="39" t="str">
        <x:v>https://docs.omniverse.nvidia.com/dsx/latest/common/NVIDIA_Omniverse_License_Agreement.html</x:v>
      </x:c>
      <x:c r="E20" s="39" t="str">
        <x:v>Current licensing page reviewed; distribution remains governed by NVIDIA terms.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5" t="str">
        <x:v>All numerical scenario inputs are author-selected synthetic assumptions. These references support definitions, boundaries and integration choices; they do not substantiate local costs, tariffs, site conditions or certification.</x:v>
      </x:c>
      <x:c r="B22" s="5"/>
      <x:c r="C22" s="5"/>
      <x:c r="D22" s="5"/>
      <x:c r="E22" s="5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5"/>
      <x:c r="B23" s="5"/>
      <x:c r="C23" s="5"/>
      <x:c r="D23" s="5"/>
      <x:c r="E23" s="5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E2"/>
    <x:mergeCell ref="A3:E3"/>
    <x:mergeCell ref="A22:E23"/>
  </x:mergeCells>
  <x:pageMargins left="0.7" right="0.7" top="0.75" bottom="0.75" header="0.3" footer="0.3"/>
</x:worksheet>
</file>